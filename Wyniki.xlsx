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biorczy_raport_analizy" sheetId="1" state="visible" r:id="rId3"/>
    <sheet name="Scenariusz_1" sheetId="2" state="visible" r:id="rId4"/>
    <sheet name="Scenariusz_2" sheetId="3" state="visible" r:id="rId5"/>
    <sheet name="Scenariusz_3" sheetId="4" state="visible" r:id="rId6"/>
    <sheet name="Scenariusz_4" sheetId="5" state="visible" r:id="rId7"/>
    <sheet name="Scenariusz_5" sheetId="6" state="visible" r:id="rId8"/>
    <sheet name="Scenariusz_6" sheetId="7" state="visible" r:id="rId9"/>
    <sheet name="Scenariusz_7" sheetId="8" state="visible" r:id="rId10"/>
  </sheets>
  <definedNames>
    <definedName function="false" hidden="true" localSheetId="0" name="ExternalData_1" vbProcedure="false">zbiorczy_raport_analizy!$A$1:$H$127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714E5-0224-41B8-A273-719685451D3C}" keepAlive="1" interval="0" name="Query - 100" description="Connection to the '100' query in the workbook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100;Extended Properties=&quot;&quot;" command="SELECT * FROM [100]"/>
  </connection>
  <connection id="2" xr16:uid="{51380480-D4F0-4867-8D65-F7763A1EBB1D}" keepAlive="1" interval="0" name="Query - struktura_zadan_weryfikacja" description="Connection to the 'struktura_zadan_weryfikacja' query in the workbook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struktura_zadan_weryfikacja;Extended Properties=&quot;&quot;" command="SELECT * FROM [struktura_zadan_weryfikacja]"/>
  </connection>
  <connection id="3" xr16:uid="{95585092-FE39-42AC-8773-967D2B56D2F4}" keepAlive="1" interval="0" name="Query - struktura_zadan_weryfikacja 1" description="Connection to the 'struktura_zadan_weryfikacja 1' query in the workbook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struktura_zadan_weryfikacja 1;Extended Properties=&quot;&quot;" command="SELECT * FROM [struktura_zadan_weryfikacja 1]"/>
  </connection>
  <connection id="4" xr16:uid="{05D2A5D4-BED2-4B76-B642-CC44D7B1AA4B}" keepAlive="1" interval="0" name="Query - zbiorczy_raport_analizy" description="Connection to the 'zbiorczy_raport_analizy' query in the workbook." type="5" reconnectionMethod="1" refreshedVersion="8" minRefreshableVersion="0" savePassword="0" new="0" deleted="0" onlyUseConnectionFile="0" background="1" refreshOnLoad="0" saveData="0">
    <dbPr connection="Provider=Microsoft.Mashup.OleDb.1;Data Source=$Workbook$;Location=zbiorczy_raport_analizy;Extended Properties=&quot;&quot;" command="SELECT * FROM [zbiorczy_raport_analizy]"/>
  </connection>
</connections>
</file>

<file path=xl/sharedStrings.xml><?xml version="1.0" encoding="utf-8"?>
<sst xmlns="http://schemas.openxmlformats.org/spreadsheetml/2006/main" count="2628" uniqueCount="383">
  <si>
    <t xml:space="preserve">Ilość zadań</t>
  </si>
  <si>
    <t xml:space="preserve">Scenariusz</t>
  </si>
  <si>
    <t xml:space="preserve">Algorytm</t>
  </si>
  <si>
    <t xml:space="preserve">Przyspieszenie</t>
  </si>
  <si>
    <t xml:space="preserve">Czas algorytmu (ms)</t>
  </si>
  <si>
    <t xml:space="preserve">Czas algorytmu (µs)</t>
  </si>
  <si>
    <t xml:space="preserve">Base Cmax (µs)</t>
  </si>
  <si>
    <t xml:space="preserve">Cmax (µs)</t>
  </si>
  <si>
    <t xml:space="preserve">Du_leung_lower_bound</t>
  </si>
  <si>
    <t xml:space="preserve">Calculeted_lower_bound</t>
  </si>
  <si>
    <t xml:space="preserve">Procent_od_Du_leung</t>
  </si>
  <si>
    <t xml:space="preserve">Procent_od_wyliczonego_LB</t>
  </si>
  <si>
    <t xml:space="preserve">GreedySpdp</t>
  </si>
  <si>
    <t xml:space="preserve">Lower bound</t>
  </si>
  <si>
    <t xml:space="preserve">SplitOff</t>
  </si>
  <si>
    <t xml:space="preserve">DuLeung1989</t>
  </si>
  <si>
    <t xml:space="preserve">&lt;- Te tabele pokazują o ile procent wynik algorytmu jest gorszy niż lower bound</t>
  </si>
  <si>
    <t xml:space="preserve">Srednie odchylenie od Lower Bound w zależności od liczby zadań </t>
  </si>
  <si>
    <t xml:space="preserve">Liczba zadań</t>
  </si>
  <si>
    <t xml:space="preserve">Splitoff</t>
  </si>
  <si>
    <t xml:space="preserve">Srednie odchylenie od Lower Bound w zależności od scenariusza (5, 10 ,20, 30, 50)</t>
  </si>
  <si>
    <t xml:space="preserve">-</t>
  </si>
  <si>
    <t xml:space="preserve">Średnie odchylenie</t>
  </si>
  <si>
    <t xml:space="preserve">Średnie odchylenie dla małych instancji &lt;30</t>
  </si>
  <si>
    <t xml:space="preserve">Średnie odchylenie dla dużych instancji</t>
  </si>
  <si>
    <t xml:space="preserve">Ilosc zadan</t>
  </si>
  <si>
    <t xml:space="preserve">Nazwa zadania</t>
  </si>
  <si>
    <t xml:space="preserve">Tryb</t>
  </si>
  <si>
    <t xml:space="preserve">p_single (us)</t>
  </si>
  <si>
    <t xml:space="preserve">p_dual (us)</t>
  </si>
  <si>
    <t xml:space="preserve">Min</t>
  </si>
  <si>
    <t xml:space="preserve">sym_mono_c0</t>
  </si>
  <si>
    <t xml:space="preserve">Mono</t>
  </si>
  <si>
    <t xml:space="preserve">Lower Bound</t>
  </si>
  <si>
    <t xml:space="preserve">sym_mono_c1</t>
  </si>
  <si>
    <t xml:space="preserve">dual_task1</t>
  </si>
  <si>
    <t xml:space="preserve">Dual</t>
  </si>
  <si>
    <t xml:space="preserve">dual_task2</t>
  </si>
  <si>
    <t xml:space="preserve">dual_task3</t>
  </si>
  <si>
    <t xml:space="preserve">mono_c0_t1</t>
  </si>
  <si>
    <t xml:space="preserve">mono_c0_t2</t>
  </si>
  <si>
    <t xml:space="preserve">mono_c0_t3</t>
  </si>
  <si>
    <t xml:space="preserve">mono_c1_t1</t>
  </si>
  <si>
    <t xml:space="preserve">mono_c1_t2</t>
  </si>
  <si>
    <t xml:space="preserve">mono_c1_t3</t>
  </si>
  <si>
    <t xml:space="preserve">dual_task4</t>
  </si>
  <si>
    <t xml:space="preserve">mono_c0_t4</t>
  </si>
  <si>
    <t xml:space="preserve">mono_c0_t5</t>
  </si>
  <si>
    <t xml:space="preserve">mono_c0_t6</t>
  </si>
  <si>
    <t xml:space="preserve">mono_c0_t7</t>
  </si>
  <si>
    <t xml:space="preserve">mono_c0_t8</t>
  </si>
  <si>
    <t xml:space="preserve">mono_c0_t9</t>
  </si>
  <si>
    <t xml:space="preserve">mono_c0_t10</t>
  </si>
  <si>
    <t xml:space="preserve">mono_c1_t4</t>
  </si>
  <si>
    <t xml:space="preserve">mono_c1_t5</t>
  </si>
  <si>
    <t xml:space="preserve">mono_c1_t6</t>
  </si>
  <si>
    <t xml:space="preserve">mono_c1_t7</t>
  </si>
  <si>
    <t xml:space="preserve">mono_c1_t8</t>
  </si>
  <si>
    <t xml:space="preserve">mono_c1_t9</t>
  </si>
  <si>
    <t xml:space="preserve">mono_c1_t10</t>
  </si>
  <si>
    <t xml:space="preserve">m0_t01</t>
  </si>
  <si>
    <t xml:space="preserve">m0_t02</t>
  </si>
  <si>
    <t xml:space="preserve">m0_t03</t>
  </si>
  <si>
    <t xml:space="preserve">m0_t04</t>
  </si>
  <si>
    <t xml:space="preserve">m0_t05</t>
  </si>
  <si>
    <t xml:space="preserve">m0_t06</t>
  </si>
  <si>
    <t xml:space="preserve">m0_t07</t>
  </si>
  <si>
    <t xml:space="preserve">m0_t08</t>
  </si>
  <si>
    <t xml:space="preserve">m0_t09</t>
  </si>
  <si>
    <t xml:space="preserve">m1_t01</t>
  </si>
  <si>
    <t xml:space="preserve">m1_t02</t>
  </si>
  <si>
    <t xml:space="preserve">m1_t03</t>
  </si>
  <si>
    <t xml:space="preserve">m1_t04</t>
  </si>
  <si>
    <t xml:space="preserve">m1_t05</t>
  </si>
  <si>
    <t xml:space="preserve">m1_t06</t>
  </si>
  <si>
    <t xml:space="preserve">m1_t07</t>
  </si>
  <si>
    <t xml:space="preserve">m1_t08</t>
  </si>
  <si>
    <t xml:space="preserve">m1_t09</t>
  </si>
  <si>
    <t xml:space="preserve">d_t01</t>
  </si>
  <si>
    <t xml:space="preserve">d_t02</t>
  </si>
  <si>
    <t xml:space="preserve">d_t03</t>
  </si>
  <si>
    <t xml:space="preserve">d_t04</t>
  </si>
  <si>
    <t xml:space="preserve">d_t05</t>
  </si>
  <si>
    <t xml:space="preserve">d_t06</t>
  </si>
  <si>
    <t xml:space="preserve">d_t07</t>
  </si>
  <si>
    <t xml:space="preserve">d_t08</t>
  </si>
  <si>
    <t xml:space="preserve">d_t09</t>
  </si>
  <si>
    <t xml:space="preserve">d_t10</t>
  </si>
  <si>
    <t xml:space="preserve">d_t11</t>
  </si>
  <si>
    <t xml:space="preserve">d_t12</t>
  </si>
  <si>
    <t xml:space="preserve">m0_t10</t>
  </si>
  <si>
    <t xml:space="preserve">m0_t11</t>
  </si>
  <si>
    <t xml:space="preserve">m0_t12</t>
  </si>
  <si>
    <t xml:space="preserve">m0_t13</t>
  </si>
  <si>
    <t xml:space="preserve">m0_t14</t>
  </si>
  <si>
    <t xml:space="preserve">m0_t15</t>
  </si>
  <si>
    <t xml:space="preserve">m1_t10</t>
  </si>
  <si>
    <t xml:space="preserve">m1_t11</t>
  </si>
  <si>
    <t xml:space="preserve">m1_t12</t>
  </si>
  <si>
    <t xml:space="preserve">m1_t13</t>
  </si>
  <si>
    <t xml:space="preserve">m1_t14</t>
  </si>
  <si>
    <t xml:space="preserve">m1_t15</t>
  </si>
  <si>
    <t xml:space="preserve">d_t13</t>
  </si>
  <si>
    <t xml:space="preserve">d_t14</t>
  </si>
  <si>
    <t xml:space="preserve">d_t15</t>
  </si>
  <si>
    <t xml:space="preserve">d_t16</t>
  </si>
  <si>
    <t xml:space="preserve">d_t17</t>
  </si>
  <si>
    <t xml:space="preserve">d_t18</t>
  </si>
  <si>
    <t xml:space="preserve">d_t19</t>
  </si>
  <si>
    <t xml:space="preserve">d_t20</t>
  </si>
  <si>
    <t xml:space="preserve">m0_task_01</t>
  </si>
  <si>
    <t xml:space="preserve">m0_task_02</t>
  </si>
  <si>
    <t xml:space="preserve">m0_task_03</t>
  </si>
  <si>
    <t xml:space="preserve">m0_task_04</t>
  </si>
  <si>
    <t xml:space="preserve">m0_task_05</t>
  </si>
  <si>
    <t xml:space="preserve">m0_task_06</t>
  </si>
  <si>
    <t xml:space="preserve">m0_task_07</t>
  </si>
  <si>
    <t xml:space="preserve">m0_task_08</t>
  </si>
  <si>
    <t xml:space="preserve">m0_task_09</t>
  </si>
  <si>
    <t xml:space="preserve">m0_task_10</t>
  </si>
  <si>
    <t xml:space="preserve">m0_task_11</t>
  </si>
  <si>
    <t xml:space="preserve">m0_task_12</t>
  </si>
  <si>
    <t xml:space="preserve">m0_task_13</t>
  </si>
  <si>
    <t xml:space="preserve">m0_task_14</t>
  </si>
  <si>
    <t xml:space="preserve">m0_task_15</t>
  </si>
  <si>
    <t xml:space="preserve">m0_task_16</t>
  </si>
  <si>
    <t xml:space="preserve">m0_task_17</t>
  </si>
  <si>
    <t xml:space="preserve">m0_task_18</t>
  </si>
  <si>
    <t xml:space="preserve">m0_task_19</t>
  </si>
  <si>
    <t xml:space="preserve">m0_task_20</t>
  </si>
  <si>
    <t xml:space="preserve">m0_task_21</t>
  </si>
  <si>
    <t xml:space="preserve">m0_task_22</t>
  </si>
  <si>
    <t xml:space="preserve">m0_task_23</t>
  </si>
  <si>
    <t xml:space="preserve">m0_task_24</t>
  </si>
  <si>
    <t xml:space="preserve">m0_task_25</t>
  </si>
  <si>
    <t xml:space="preserve">m0_task_26</t>
  </si>
  <si>
    <t xml:space="preserve">m0_task_27</t>
  </si>
  <si>
    <t xml:space="preserve">m0_task_28</t>
  </si>
  <si>
    <t xml:space="preserve">m0_task_29</t>
  </si>
  <si>
    <t xml:space="preserve">m0_task_30</t>
  </si>
  <si>
    <t xml:space="preserve">m1_task_01</t>
  </si>
  <si>
    <t xml:space="preserve">m1_task_02</t>
  </si>
  <si>
    <t xml:space="preserve">m1_task_03</t>
  </si>
  <si>
    <t xml:space="preserve">m1_task_04</t>
  </si>
  <si>
    <t xml:space="preserve">m1_task_05</t>
  </si>
  <si>
    <t xml:space="preserve">m1_task_06</t>
  </si>
  <si>
    <t xml:space="preserve">m1_task_07</t>
  </si>
  <si>
    <t xml:space="preserve">m1_task_08</t>
  </si>
  <si>
    <t xml:space="preserve">m1_task_09</t>
  </si>
  <si>
    <t xml:space="preserve">m1_task_10</t>
  </si>
  <si>
    <t xml:space="preserve">m1_task_11</t>
  </si>
  <si>
    <t xml:space="preserve">m1_task_12</t>
  </si>
  <si>
    <t xml:space="preserve">m1_task_13</t>
  </si>
  <si>
    <t xml:space="preserve">m1_task_14</t>
  </si>
  <si>
    <t xml:space="preserve">m1_task_15</t>
  </si>
  <si>
    <t xml:space="preserve">m1_task_16</t>
  </si>
  <si>
    <t xml:space="preserve">m1_task_17</t>
  </si>
  <si>
    <t xml:space="preserve">m1_task_18</t>
  </si>
  <si>
    <t xml:space="preserve">m1_task_19</t>
  </si>
  <si>
    <t xml:space="preserve">m1_task_20</t>
  </si>
  <si>
    <t xml:space="preserve">m1_task_21</t>
  </si>
  <si>
    <t xml:space="preserve">m1_task_22</t>
  </si>
  <si>
    <t xml:space="preserve">m1_task_23</t>
  </si>
  <si>
    <t xml:space="preserve">m1_task_24</t>
  </si>
  <si>
    <t xml:space="preserve">m1_task_25</t>
  </si>
  <si>
    <t xml:space="preserve">m1_task_26</t>
  </si>
  <si>
    <t xml:space="preserve">m1_task_27</t>
  </si>
  <si>
    <t xml:space="preserve">m1_task_28</t>
  </si>
  <si>
    <t xml:space="preserve">m1_task_29</t>
  </si>
  <si>
    <t xml:space="preserve">m1_task_30</t>
  </si>
  <si>
    <t xml:space="preserve">d_task_01</t>
  </si>
  <si>
    <t xml:space="preserve">d_task_02</t>
  </si>
  <si>
    <t xml:space="preserve">d_task_03</t>
  </si>
  <si>
    <t xml:space="preserve">d_task_04</t>
  </si>
  <si>
    <t xml:space="preserve">d_task_05</t>
  </si>
  <si>
    <t xml:space="preserve">d_task_06</t>
  </si>
  <si>
    <t xml:space="preserve">d_task_07</t>
  </si>
  <si>
    <t xml:space="preserve">d_task_08</t>
  </si>
  <si>
    <t xml:space="preserve">d_task_09</t>
  </si>
  <si>
    <t xml:space="preserve">d_task_10</t>
  </si>
  <si>
    <t xml:space="preserve">d_task_11</t>
  </si>
  <si>
    <t xml:space="preserve">d_task_12</t>
  </si>
  <si>
    <t xml:space="preserve">d_task_13</t>
  </si>
  <si>
    <t xml:space="preserve">d_task_14</t>
  </si>
  <si>
    <t xml:space="preserve">d_task_15</t>
  </si>
  <si>
    <t xml:space="preserve">d_task_16</t>
  </si>
  <si>
    <t xml:space="preserve">d_task_17</t>
  </si>
  <si>
    <t xml:space="preserve">d_task_18</t>
  </si>
  <si>
    <t xml:space="preserve">d_task_19</t>
  </si>
  <si>
    <t xml:space="preserve">d_task_20</t>
  </si>
  <si>
    <t xml:space="preserve">d_task_21</t>
  </si>
  <si>
    <t xml:space="preserve">d_task_22</t>
  </si>
  <si>
    <t xml:space="preserve">d_task_23</t>
  </si>
  <si>
    <t xml:space="preserve">d_task_24</t>
  </si>
  <si>
    <t xml:space="preserve">d_task_25</t>
  </si>
  <si>
    <t xml:space="preserve">d_task_26</t>
  </si>
  <si>
    <t xml:space="preserve">d_task_27</t>
  </si>
  <si>
    <t xml:space="preserve">d_task_28</t>
  </si>
  <si>
    <t xml:space="preserve">d_task_29</t>
  </si>
  <si>
    <t xml:space="preserve">d_task_30</t>
  </si>
  <si>
    <t xml:space="preserve">d_task_31</t>
  </si>
  <si>
    <t xml:space="preserve">d_task_32</t>
  </si>
  <si>
    <t xml:space="preserve">d_task_33</t>
  </si>
  <si>
    <t xml:space="preserve">d_task_34</t>
  </si>
  <si>
    <t xml:space="preserve">d_task_35</t>
  </si>
  <si>
    <t xml:space="preserve">d_task_36</t>
  </si>
  <si>
    <t xml:space="preserve">d_task_37</t>
  </si>
  <si>
    <t xml:space="preserve">d_task_38</t>
  </si>
  <si>
    <t xml:space="preserve">d_task_39</t>
  </si>
  <si>
    <t xml:space="preserve">d_task_40</t>
  </si>
  <si>
    <t xml:space="preserve">heavy_flex</t>
  </si>
  <si>
    <t xml:space="preserve">Mono&amp;Dual</t>
  </si>
  <si>
    <t xml:space="preserve">dual_t1</t>
  </si>
  <si>
    <t xml:space="preserve">dual_t2</t>
  </si>
  <si>
    <t xml:space="preserve">dual_t3</t>
  </si>
  <si>
    <t xml:space="preserve">fx1</t>
  </si>
  <si>
    <t xml:space="preserve">fx2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</si>
  <si>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</si>
  <si>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</si>
  <si>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</si>
  <si>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</si>
  <si>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</si>
  <si>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</si>
  <si>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fx3</t>
  </si>
  <si>
    <t xml:space="preserve">fx4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</si>
  <si>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</si>
  <si>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</si>
  <si>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</si>
  <si>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</si>
  <si>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</si>
  <si>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</si>
  <si>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fx5</t>
  </si>
  <si>
    <t xml:space="preserve">fx6</t>
  </si>
  <si>
    <t xml:space="preserve">fx7</t>
  </si>
  <si>
    <t xml:space="preserve">fx8</t>
  </si>
  <si>
    <t xml:space="preserve">fx9</t>
  </si>
  <si>
    <t xml:space="preserve">fx10</t>
  </si>
  <si>
    <t xml:space="preserve">fx11</t>
  </si>
  <si>
    <t xml:space="preserve">fx12</t>
  </si>
  <si>
    <t xml:space="preserve">fx13</t>
  </si>
  <si>
    <t xml:space="preserve">fx14</t>
  </si>
  <si>
    <t xml:space="preserve">fx15</t>
  </si>
  <si>
    <t xml:space="preserve">fx16</t>
  </si>
  <si>
    <t xml:space="preserve">fx17</t>
  </si>
  <si>
    <t xml:space="preserve">fx18</t>
  </si>
  <si>
    <t xml:space="preserve">fx19</t>
  </si>
  <si>
    <t xml:space="preserve">fx20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</si>
  <si>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</si>
  <si>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</si>
  <si>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</si>
  <si>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</si>
  <si>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</si>
  <si>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</si>
  <si>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</si>
  <si>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</si>
  <si>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</si>
  <si>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</si>
  <si>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</si>
  <si>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</si>
  <si>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</si>
  <si>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</si>
  <si>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</si>
  <si>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</si>
  <si>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</si>
  <si>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</si>
  <si>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</si>
  <si>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</si>
  <si>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</si>
  <si>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</si>
  <si>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</si>
  <si>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</si>
  <si>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</si>
  <si>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</si>
  <si>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</si>
  <si>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</si>
  <si>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</si>
  <si>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</si>
  <si>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</si>
  <si>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</si>
  <si>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</si>
  <si>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</si>
  <si>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</si>
  <si>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</si>
  <si>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</si>
  <si>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t50</t>
  </si>
  <si>
    <t xml:space="preserve">t51</t>
  </si>
  <si>
    <t xml:space="preserve">t52</t>
  </si>
  <si>
    <t xml:space="preserve">t53</t>
  </si>
  <si>
    <t xml:space="preserve">t54</t>
  </si>
  <si>
    <t xml:space="preserve">t55</t>
  </si>
  <si>
    <t xml:space="preserve">t56</t>
  </si>
  <si>
    <t xml:space="preserve">t57</t>
  </si>
  <si>
    <t xml:space="preserve">t58</t>
  </si>
  <si>
    <t xml:space="preserve">t59</t>
  </si>
  <si>
    <t xml:space="preserve">t60</t>
  </si>
  <si>
    <t xml:space="preserve">fx21</t>
  </si>
  <si>
    <t xml:space="preserve">fx22</t>
  </si>
  <si>
    <t xml:space="preserve">fx23</t>
  </si>
  <si>
    <t xml:space="preserve">fx24</t>
  </si>
  <si>
    <t xml:space="preserve">fx25</t>
  </si>
  <si>
    <t xml:space="preserve">fx26</t>
  </si>
  <si>
    <t xml:space="preserve">fx27</t>
  </si>
  <si>
    <t xml:space="preserve">fx28</t>
  </si>
  <si>
    <t xml:space="preserve">fx29</t>
  </si>
  <si>
    <t xml:space="preserve">fx30</t>
  </si>
  <si>
    <t xml:space="preserve">fx31</t>
  </si>
  <si>
    <t xml:space="preserve">fx32</t>
  </si>
  <si>
    <t xml:space="preserve">fx33</t>
  </si>
  <si>
    <t xml:space="preserve">fx34</t>
  </si>
  <si>
    <t xml:space="preserve">fx35</t>
  </si>
  <si>
    <t xml:space="preserve">fx36</t>
  </si>
  <si>
    <t xml:space="preserve">fx37</t>
  </si>
  <si>
    <t xml:space="preserve">fx38</t>
  </si>
  <si>
    <t xml:space="preserve">fx39</t>
  </si>
  <si>
    <t xml:space="preserve">fx40</t>
  </si>
  <si>
    <t xml:space="preserve">fx41</t>
  </si>
  <si>
    <t xml:space="preserve">fx42</t>
  </si>
  <si>
    <t xml:space="preserve">fx43</t>
  </si>
  <si>
    <t xml:space="preserve">fx44</t>
  </si>
  <si>
    <t xml:space="preserve">fx45</t>
  </si>
  <si>
    <t xml:space="preserve">fx46</t>
  </si>
  <si>
    <t xml:space="preserve">fx47</t>
  </si>
  <si>
    <t xml:space="preserve">fx48</t>
  </si>
  <si>
    <t xml:space="preserve">fx49</t>
  </si>
  <si>
    <t xml:space="preserve">fx50</t>
  </si>
  <si>
    <t xml:space="preserve">fx51</t>
  </si>
  <si>
    <t xml:space="preserve">fx52</t>
  </si>
  <si>
    <t xml:space="preserve">fx53</t>
  </si>
  <si>
    <t xml:space="preserve">fx54</t>
  </si>
  <si>
    <t xml:space="preserve">fx55</t>
  </si>
  <si>
    <t xml:space="preserve">fx56</t>
  </si>
  <si>
    <t xml:space="preserve">fx57</t>
  </si>
  <si>
    <t xml:space="preserve">fx58</t>
  </si>
  <si>
    <t xml:space="preserve">fx59</t>
  </si>
  <si>
    <t xml:space="preserve">fx60</t>
  </si>
  <si>
    <t xml:space="preserve">fx61</t>
  </si>
  <si>
    <t xml:space="preserve">fx62</t>
  </si>
  <si>
    <t xml:space="preserve">fx63</t>
  </si>
  <si>
    <t xml:space="preserve">fx64</t>
  </si>
  <si>
    <t xml:space="preserve">fx65</t>
  </si>
  <si>
    <t xml:space="preserve">fx66</t>
  </si>
  <si>
    <t xml:space="preserve">fx67</t>
  </si>
  <si>
    <t xml:space="preserve">fx68</t>
  </si>
  <si>
    <t xml:space="preserve">t71</t>
  </si>
  <si>
    <t xml:space="preserve">t72</t>
  </si>
  <si>
    <t xml:space="preserve">t73</t>
  </si>
  <si>
    <t xml:space="preserve">t74</t>
  </si>
  <si>
    <t xml:space="preserve">t75</t>
  </si>
  <si>
    <t xml:space="preserve">t76</t>
  </si>
  <si>
    <t xml:space="preserve">t77</t>
  </si>
  <si>
    <t xml:space="preserve">t78</t>
  </si>
  <si>
    <t xml:space="preserve">t79</t>
  </si>
  <si>
    <t xml:space="preserve">t80</t>
  </si>
  <si>
    <t xml:space="preserve">t81</t>
  </si>
  <si>
    <t xml:space="preserve">t82</t>
  </si>
  <si>
    <t xml:space="preserve">t83</t>
  </si>
  <si>
    <t xml:space="preserve">t84</t>
  </si>
  <si>
    <t xml:space="preserve">t85</t>
  </si>
  <si>
    <t xml:space="preserve">t86</t>
  </si>
  <si>
    <t xml:space="preserve">t87</t>
  </si>
  <si>
    <t xml:space="preserve">t88</t>
  </si>
  <si>
    <t xml:space="preserve">t89</t>
  </si>
  <si>
    <t xml:space="preserve">t90</t>
  </si>
  <si>
    <t xml:space="preserve">t91</t>
  </si>
  <si>
    <t xml:space="preserve">t92</t>
  </si>
  <si>
    <t xml:space="preserve">t93</t>
  </si>
  <si>
    <t xml:space="preserve">t94</t>
  </si>
  <si>
    <t xml:space="preserve">t95</t>
  </si>
  <si>
    <t xml:space="preserve">t96</t>
  </si>
  <si>
    <t xml:space="preserve">t97</t>
  </si>
  <si>
    <t xml:space="preserve">t98</t>
  </si>
  <si>
    <t xml:space="preserve">t99</t>
  </si>
  <si>
    <t xml:space="preserve">t100</t>
  </si>
  <si>
    <t xml:space="preserve">t61</t>
  </si>
  <si>
    <t xml:space="preserve">t62</t>
  </si>
  <si>
    <t xml:space="preserve">t63</t>
  </si>
  <si>
    <t xml:space="preserve">t64</t>
  </si>
  <si>
    <t xml:space="preserve">t65</t>
  </si>
  <si>
    <t xml:space="preserve">t66</t>
  </si>
  <si>
    <t xml:space="preserve">t67</t>
  </si>
  <si>
    <t xml:space="preserve">t68</t>
  </si>
  <si>
    <t xml:space="preserve">t69</t>
  </si>
  <si>
    <t xml:space="preserve">t70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</si>
</sst>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9"/>
        <bgColor rgb="FF339966"/>
      </patternFill>
    </fill>
    <fill>
      <patternFill patternType="solid">
        <fgColor theme="9" tint="0.7999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connections" Target="connections.xml"/><Relationship Id="rId13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2" displayName="Table2" ref="O52:R58" headerRowCount="1" totalsRowCount="0" totalsRowShown="0">
  <autoFilter ref="O52:R58"/>
  <tableColumns count="4">
    <tableColumn id="1" name="Liczba zadań"/>
    <tableColumn id="2" name="GreedySpdp"/>
    <tableColumn id="3" name="Splitoff"/>
    <tableColumn id="4" name="DuLeung1989"/>
  </tableColumns>
</table>
</file>

<file path=xl/tables/table2.xml><?xml version="1.0" encoding="utf-8"?>
<table xmlns="http://schemas.openxmlformats.org/spreadsheetml/2006/main" id="2" name="Table3" displayName="Table3" ref="O63:R70" headerRowCount="1" totalsRowCount="0" totalsRowShown="0">
  <autoFilter ref="O63:R70"/>
  <tableColumns count="4">
    <tableColumn id="1" name="Scenariusz"/>
    <tableColumn id="2" name="GreedySpdp"/>
    <tableColumn id="3" name="Splitoff"/>
    <tableColumn id="4" name="DuLeung1989"/>
  </tableColumns>
</table>
</file>

<file path=xl/tables/table3.xml><?xml version="1.0" encoding="utf-8"?>
<table xmlns="http://schemas.openxmlformats.org/spreadsheetml/2006/main" id="3" name="Table37" displayName="Table37" ref="T63:W70" headerRowCount="1" totalsRowCount="0" totalsRowShown="0">
  <autoFilter ref="T63:W70"/>
  <tableColumns count="4">
    <tableColumn id="1" name="Scenariusz"/>
    <tableColumn id="2" name="GreedySpdp"/>
    <tableColumn id="3" name="Splitoff"/>
    <tableColumn id="4" name="DuLeung1989"/>
  </tableColumns>
</table>
</file>

<file path=xl/tables/table4.xml><?xml version="1.0" encoding="utf-8"?>
<table xmlns="http://schemas.openxmlformats.org/spreadsheetml/2006/main" id="4" name="Table4" displayName="Table4" ref="O77:R80" headerRowCount="1" totalsRowCount="0" totalsRowShown="0">
  <autoFilter ref="O77:R80"/>
  <tableColumns count="4">
    <tableColumn id="1" name="Algorytm"/>
    <tableColumn id="2" name="Średnie odchylenie"/>
    <tableColumn id="3" name="Średnie odchylenie dla małych instancji &lt;30"/>
    <tableColumn id="4" name="Średnie odchylenie dla dużych instancji"/>
  </tableColumns>
</table>
</file>

<file path=xl/tables/table5.xml><?xml version="1.0" encoding="utf-8"?>
<table xmlns="http://schemas.openxmlformats.org/spreadsheetml/2006/main" id="5" name="zbiorczy_raport_analizy" displayName="zbiorczy_raport_analizy" ref="A1:L127" headerRowCount="1" totalsRowCount="0" totalsRowShown="0">
  <autoFilter ref="A1:L127"/>
  <tableColumns count="12">
    <tableColumn id="1" name="Ilość zadań"/>
    <tableColumn id="2" name="Scenariusz"/>
    <tableColumn id="3" name="Algorytm"/>
    <tableColumn id="4" name="Przyspieszenie"/>
    <tableColumn id="5" name="Czas algorytmu (ms)"/>
    <tableColumn id="6" name="Czas algorytmu (µs)"/>
    <tableColumn id="7" name="Base Cmax (µs)"/>
    <tableColumn id="8" name="Cmax (µs)"/>
    <tableColumn id="9" name="Du_leung_lower_bound"/>
    <tableColumn id="10" name="Calculeted_lower_bound"/>
    <tableColumn id="11" name="Procent_od_Du_leung"/>
    <tableColumn id="12" name="Procent_od_wyliczonego_LB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7"/>
  <sheetViews>
    <sheetView showFormulas="false" showGridLines="true" showRowColHeaders="true" showZeros="true" rightToLeft="false" tabSelected="true" showOutlineSymbols="true" defaultGridColor="true" view="normal" topLeftCell="J1" colorId="64" zoomScale="74" zoomScaleNormal="74" zoomScalePageLayoutView="100" workbookViewId="0">
      <selection pane="topLeft" activeCell="S18" activeCellId="0" sqref="S18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1" width="12.71"/>
    <col collapsed="false" customWidth="true" hidden="false" outlineLevel="0" max="3" min="3" style="1" width="13.29"/>
    <col collapsed="false" customWidth="true" hidden="false" outlineLevel="0" max="4" min="4" style="1" width="16.43"/>
    <col collapsed="false" customWidth="true" hidden="false" outlineLevel="0" max="5" min="5" style="1" width="21.72"/>
    <col collapsed="false" customWidth="true" hidden="false" outlineLevel="0" max="6" min="6" style="1" width="21.14"/>
    <col collapsed="false" customWidth="true" hidden="false" outlineLevel="0" max="7" min="7" style="1" width="17"/>
    <col collapsed="false" customWidth="true" hidden="false" outlineLevel="0" max="8" min="8" style="1" width="12.14"/>
    <col collapsed="false" customWidth="true" hidden="false" outlineLevel="0" max="9" min="9" style="1" width="26.14"/>
    <col collapsed="false" customWidth="true" hidden="false" outlineLevel="0" max="10" min="10" style="1" width="23"/>
    <col collapsed="false" customWidth="true" hidden="false" outlineLevel="0" max="11" min="11" style="2" width="23.43"/>
    <col collapsed="false" customWidth="true" hidden="false" outlineLevel="0" max="12" min="12" style="2" width="29.42"/>
    <col collapsed="false" customWidth="true" hidden="false" outlineLevel="0" max="13" min="13" style="0" width="12.71"/>
    <col collapsed="false" customWidth="true" hidden="false" outlineLevel="0" max="14" min="14" style="0" width="32"/>
    <col collapsed="false" customWidth="true" hidden="false" outlineLevel="0" max="15" min="15" style="0" width="19"/>
    <col collapsed="false" customWidth="true" hidden="false" outlineLevel="0" max="16" min="16" style="0" width="20.57"/>
    <col collapsed="false" customWidth="true" hidden="false" outlineLevel="0" max="17" min="17" style="0" width="40.14"/>
    <col collapsed="false" customWidth="true" hidden="false" outlineLevel="0" max="18" min="18" style="0" width="36.57"/>
    <col collapsed="false" customWidth="true" hidden="false" outlineLevel="0" max="19" min="19" style="0" width="13.14"/>
    <col collapsed="false" customWidth="true" hidden="false" outlineLevel="0" max="20" min="20" style="0" width="19.14"/>
    <col collapsed="false" customWidth="true" hidden="false" outlineLevel="0" max="21" min="21" style="0" width="22.71"/>
    <col collapsed="false" customWidth="true" hidden="false" outlineLevel="0" max="22" min="22" style="0" width="16.85"/>
    <col collapsed="false" customWidth="true" hidden="false" outlineLevel="0" max="23" min="23" style="0" width="20.2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R1" s="5"/>
      <c r="S1" s="5"/>
      <c r="T1" s="5"/>
      <c r="U1" s="5"/>
      <c r="V1" s="5"/>
    </row>
    <row r="2" customFormat="false" ht="15" hidden="false" customHeight="false" outlineLevel="0" collapsed="false">
      <c r="A2" s="1" t="n">
        <v>5</v>
      </c>
      <c r="B2" s="1" t="n">
        <v>1</v>
      </c>
      <c r="C2" s="1" t="s">
        <v>12</v>
      </c>
      <c r="D2" s="1" t="n">
        <v>0.0001</v>
      </c>
      <c r="E2" s="1" t="n">
        <v>0.07793</v>
      </c>
      <c r="F2" s="1" t="n">
        <v>77.93</v>
      </c>
      <c r="G2" s="1" t="n">
        <v>381561</v>
      </c>
      <c r="H2" s="1" t="n">
        <v>381523</v>
      </c>
      <c r="I2" s="1" t="n">
        <f aca="false">MIN(H$2:H$4)</f>
        <v>381523</v>
      </c>
      <c r="J2" s="1" t="n">
        <f aca="false" t="array" ref="J2:J2">_xlfn.XLOOKUP(1, ($Q$3:$Q$44=B2) * ($R$3:$R$44=A2), $S$3:$S$44)</f>
        <v>190000</v>
      </c>
      <c r="K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2" s="6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1.00801578947368</v>
      </c>
      <c r="Q2" s="1" t="s">
        <v>1</v>
      </c>
      <c r="R2" s="1" t="s">
        <v>0</v>
      </c>
      <c r="S2" s="1" t="s">
        <v>13</v>
      </c>
      <c r="T2" s="5"/>
      <c r="U2" s="5"/>
      <c r="V2" s="5"/>
    </row>
    <row r="3" customFormat="false" ht="15" hidden="false" customHeight="false" outlineLevel="0" collapsed="false">
      <c r="A3" s="1" t="n">
        <v>5</v>
      </c>
      <c r="B3" s="1" t="n">
        <v>1</v>
      </c>
      <c r="C3" s="1" t="s">
        <v>14</v>
      </c>
      <c r="D3" s="1" t="n">
        <v>0.0001</v>
      </c>
      <c r="E3" s="1" t="n">
        <v>0.0525</v>
      </c>
      <c r="F3" s="1" t="n">
        <v>52.5</v>
      </c>
      <c r="G3" s="1" t="n">
        <v>381561</v>
      </c>
      <c r="H3" s="1" t="n">
        <v>381523</v>
      </c>
      <c r="I3" s="1" t="n">
        <f aca="false">MIN(H$2:H$4)</f>
        <v>381523</v>
      </c>
      <c r="J3" s="1" t="n">
        <f aca="false" t="array" ref="J3:J3">_xlfn.XLOOKUP(1, ($Q$3:$Q$44=B3) * ($R$3:$R$44=A3), $S$3:$S$44)</f>
        <v>190000</v>
      </c>
      <c r="K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1.00801578947368</v>
      </c>
      <c r="Q3" s="1" t="n">
        <v>1</v>
      </c>
      <c r="R3" s="1" t="n">
        <v>5</v>
      </c>
      <c r="S3" s="1" t="n">
        <v>190000</v>
      </c>
      <c r="T3" s="5"/>
      <c r="U3" s="5"/>
      <c r="V3" s="5"/>
    </row>
    <row r="4" customFormat="false" ht="15" hidden="false" customHeight="false" outlineLevel="0" collapsed="false">
      <c r="A4" s="1" t="n">
        <v>5</v>
      </c>
      <c r="B4" s="1" t="n">
        <v>1</v>
      </c>
      <c r="C4" s="1" t="s">
        <v>15</v>
      </c>
      <c r="D4" s="1" t="n">
        <v>0.0001</v>
      </c>
      <c r="E4" s="1" t="n">
        <v>0.08666</v>
      </c>
      <c r="F4" s="1" t="n">
        <v>86.66</v>
      </c>
      <c r="G4" s="1" t="n">
        <v>381561</v>
      </c>
      <c r="H4" s="1" t="n">
        <v>381523</v>
      </c>
      <c r="I4" s="1" t="n">
        <f aca="false">MIN(H$2:H$4)</f>
        <v>381523</v>
      </c>
      <c r="J4" s="1" t="n">
        <f aca="false" t="array" ref="J4:J4">_xlfn.XLOOKUP(1, ($Q$3:$Q$44=B4) * ($R$3:$R$44=A4), $S$3:$S$44)</f>
        <v>190000</v>
      </c>
      <c r="K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1.00801578947368</v>
      </c>
      <c r="Q4" s="1" t="n">
        <v>1</v>
      </c>
      <c r="R4" s="1" t="n">
        <v>10</v>
      </c>
      <c r="S4" s="1" t="n">
        <v>250000</v>
      </c>
      <c r="T4" s="5"/>
      <c r="U4" s="5"/>
      <c r="V4" s="5"/>
    </row>
    <row r="5" customFormat="false" ht="15" hidden="false" customHeight="true" outlineLevel="0" collapsed="false">
      <c r="A5" s="1" t="n">
        <v>10</v>
      </c>
      <c r="B5" s="1" t="n">
        <v>1</v>
      </c>
      <c r="C5" s="1" t="s">
        <v>12</v>
      </c>
      <c r="D5" s="1" t="n">
        <v>0.0002</v>
      </c>
      <c r="E5" s="1" t="n">
        <v>0.06921</v>
      </c>
      <c r="F5" s="1" t="n">
        <v>69.21</v>
      </c>
      <c r="G5" s="1" t="n">
        <v>502536</v>
      </c>
      <c r="H5" s="1" t="n">
        <v>502440.5</v>
      </c>
      <c r="I5" s="1" t="n">
        <f aca="false">MIN(H$5:H$7)</f>
        <v>502440.5</v>
      </c>
      <c r="J5" s="1" t="n">
        <f aca="false" t="array" ref="J5:J5">_xlfn.XLOOKUP(1, ($Q$3:$Q$44=B5) * ($R$3:$R$44=A5), $S$3:$S$44)</f>
        <v>250000</v>
      </c>
      <c r="K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1.009762</v>
      </c>
      <c r="N5" s="8" t="s">
        <v>16</v>
      </c>
      <c r="Q5" s="1" t="n">
        <v>1</v>
      </c>
      <c r="R5" s="1" t="n">
        <v>20</v>
      </c>
      <c r="S5" s="1" t="n">
        <v>100000</v>
      </c>
      <c r="T5" s="5"/>
      <c r="U5" s="5"/>
      <c r="V5" s="5"/>
    </row>
    <row r="6" customFormat="false" ht="15" hidden="false" customHeight="false" outlineLevel="0" collapsed="false">
      <c r="A6" s="1" t="n">
        <v>10</v>
      </c>
      <c r="B6" s="1" t="n">
        <v>1</v>
      </c>
      <c r="C6" s="1" t="s">
        <v>14</v>
      </c>
      <c r="D6" s="1" t="n">
        <v>0.0002</v>
      </c>
      <c r="E6" s="1" t="n">
        <v>0.04005</v>
      </c>
      <c r="F6" s="1" t="n">
        <v>40.05</v>
      </c>
      <c r="G6" s="1" t="n">
        <v>502536</v>
      </c>
      <c r="H6" s="1" t="n">
        <v>502440.5</v>
      </c>
      <c r="I6" s="1" t="n">
        <f aca="false">MIN(H$5:H$7)</f>
        <v>502440.5</v>
      </c>
      <c r="J6" s="1" t="n">
        <f aca="false" t="array" ref="J6:J6">_xlfn.XLOOKUP(1, ($Q$3:$Q$44=B6) * ($R$3:$R$44=A6), $S$3:$S$44)</f>
        <v>250000</v>
      </c>
      <c r="K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1.009762</v>
      </c>
      <c r="N6" s="8"/>
      <c r="Q6" s="1" t="n">
        <v>1</v>
      </c>
      <c r="R6" s="1" t="n">
        <v>30</v>
      </c>
      <c r="S6" s="1" t="n">
        <v>375000</v>
      </c>
      <c r="T6" s="5"/>
      <c r="U6" s="5"/>
      <c r="V6" s="5"/>
    </row>
    <row r="7" customFormat="false" ht="15" hidden="false" customHeight="false" outlineLevel="0" collapsed="false">
      <c r="A7" s="1" t="n">
        <v>10</v>
      </c>
      <c r="B7" s="1" t="n">
        <v>1</v>
      </c>
      <c r="C7" s="1" t="s">
        <v>15</v>
      </c>
      <c r="D7" s="1" t="n">
        <v>0.0002</v>
      </c>
      <c r="E7" s="1" t="n">
        <v>0.06511</v>
      </c>
      <c r="F7" s="1" t="n">
        <v>65.11</v>
      </c>
      <c r="G7" s="1" t="n">
        <v>502536</v>
      </c>
      <c r="H7" s="1" t="n">
        <v>502440.5</v>
      </c>
      <c r="I7" s="1" t="n">
        <f aca="false">MIN(H$5:H$7)</f>
        <v>502440.5</v>
      </c>
      <c r="J7" s="1" t="n">
        <f aca="false" t="array" ref="J7:J7">_xlfn.XLOOKUP(1, ($Q$3:$Q$44=B7) * ($R$3:$R$44=A7), $S$3:$S$44)</f>
        <v>250000</v>
      </c>
      <c r="K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1.009762</v>
      </c>
      <c r="N7" s="8"/>
      <c r="Q7" s="1" t="n">
        <v>1</v>
      </c>
      <c r="R7" s="1" t="n">
        <v>50</v>
      </c>
      <c r="S7" s="1" t="n">
        <v>550000</v>
      </c>
      <c r="T7" s="5"/>
      <c r="U7" s="5"/>
      <c r="V7" s="5"/>
    </row>
    <row r="8" customFormat="false" ht="15" hidden="false" customHeight="false" outlineLevel="0" collapsed="false">
      <c r="A8" s="1" t="n">
        <v>20</v>
      </c>
      <c r="B8" s="1" t="n">
        <v>1</v>
      </c>
      <c r="C8" s="1" t="s">
        <v>12</v>
      </c>
      <c r="D8" s="1" t="n">
        <v>0.0004</v>
      </c>
      <c r="E8" s="1" t="n">
        <v>0.13987</v>
      </c>
      <c r="F8" s="1" t="n">
        <v>139.87</v>
      </c>
      <c r="G8" s="1" t="n">
        <v>200264</v>
      </c>
      <c r="H8" s="1" t="n">
        <v>200179</v>
      </c>
      <c r="I8" s="1" t="n">
        <f aca="false">MIN(H$8:H$10)</f>
        <v>200179</v>
      </c>
      <c r="J8" s="1" t="n">
        <f aca="false" t="array" ref="J8:J8">_xlfn.XLOOKUP(1, ($Q$3:$Q$44=B8) * ($R$3:$R$44=A8), $S$3:$S$44)</f>
        <v>100000</v>
      </c>
      <c r="K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1.00179</v>
      </c>
      <c r="N8" s="8"/>
      <c r="Q8" s="1" t="n">
        <v>1</v>
      </c>
      <c r="R8" s="1" t="n">
        <v>100</v>
      </c>
      <c r="S8" s="1" t="n">
        <v>290000</v>
      </c>
      <c r="T8" s="5"/>
      <c r="U8" s="5"/>
      <c r="V8" s="5"/>
    </row>
    <row r="9" customFormat="false" ht="15" hidden="false" customHeight="false" outlineLevel="0" collapsed="false">
      <c r="A9" s="1" t="n">
        <v>20</v>
      </c>
      <c r="B9" s="1" t="n">
        <v>1</v>
      </c>
      <c r="C9" s="1" t="s">
        <v>14</v>
      </c>
      <c r="D9" s="1" t="n">
        <v>0.0004</v>
      </c>
      <c r="E9" s="1" t="n">
        <v>0.10257</v>
      </c>
      <c r="F9" s="1" t="n">
        <v>102.57</v>
      </c>
      <c r="G9" s="1" t="n">
        <v>200264</v>
      </c>
      <c r="H9" s="1" t="n">
        <v>200179</v>
      </c>
      <c r="I9" s="1" t="n">
        <f aca="false">MIN(H$8:H$10)</f>
        <v>200179</v>
      </c>
      <c r="J9" s="1" t="n">
        <f aca="false" t="array" ref="J9:J9">_xlfn.XLOOKUP(1, ($Q$3:$Q$44=B9) * ($R$3:$R$44=A9), $S$3:$S$44)</f>
        <v>100000</v>
      </c>
      <c r="K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1.00179</v>
      </c>
      <c r="Q9" s="1" t="n">
        <v>2</v>
      </c>
      <c r="R9" s="1" t="n">
        <v>5</v>
      </c>
      <c r="S9" s="1" t="n">
        <v>50000</v>
      </c>
      <c r="T9" s="5"/>
      <c r="U9" s="5"/>
      <c r="V9" s="5"/>
    </row>
    <row r="10" customFormat="false" ht="15" hidden="false" customHeight="false" outlineLevel="0" collapsed="false">
      <c r="A10" s="1" t="n">
        <v>20</v>
      </c>
      <c r="B10" s="1" t="n">
        <v>1</v>
      </c>
      <c r="C10" s="1" t="s">
        <v>15</v>
      </c>
      <c r="D10" s="1" t="n">
        <v>0.0004</v>
      </c>
      <c r="E10" s="1" t="n">
        <v>41.56722</v>
      </c>
      <c r="F10" s="1" t="n">
        <v>41567.22</v>
      </c>
      <c r="G10" s="1" t="n">
        <v>200264</v>
      </c>
      <c r="H10" s="1" t="n">
        <v>200179</v>
      </c>
      <c r="I10" s="1" t="n">
        <f aca="false">MIN(H$8:H$10)</f>
        <v>200179</v>
      </c>
      <c r="J10" s="1" t="n">
        <f aca="false" t="array" ref="J10:J10">_xlfn.XLOOKUP(1, ($Q$3:$Q$44=B10) * ($R$3:$R$44=A10), $S$3:$S$44)</f>
        <v>100000</v>
      </c>
      <c r="K1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1.00179</v>
      </c>
      <c r="Q10" s="1" t="n">
        <v>2</v>
      </c>
      <c r="R10" s="1" t="n">
        <v>10</v>
      </c>
      <c r="S10" s="1" t="n">
        <v>20000</v>
      </c>
      <c r="T10" s="5"/>
      <c r="U10" s="5"/>
      <c r="V10" s="5"/>
    </row>
    <row r="11" customFormat="false" ht="15" hidden="false" customHeight="false" outlineLevel="0" collapsed="false">
      <c r="A11" s="1" t="n">
        <v>30</v>
      </c>
      <c r="B11" s="1" t="n">
        <v>1</v>
      </c>
      <c r="C11" s="1" t="s">
        <v>12</v>
      </c>
      <c r="D11" s="1" t="n">
        <v>0.0223</v>
      </c>
      <c r="E11" s="1" t="n">
        <v>0.16178</v>
      </c>
      <c r="F11" s="1" t="n">
        <v>161.78</v>
      </c>
      <c r="G11" s="1" t="n">
        <v>769912</v>
      </c>
      <c r="H11" s="1" t="n">
        <v>752741.5</v>
      </c>
      <c r="I11" s="1" t="n">
        <f aca="false">MIN(H$11:H$13)</f>
        <v>752741.5</v>
      </c>
      <c r="J11" s="1" t="n">
        <f aca="false" t="array" ref="J11:J11">_xlfn.XLOOKUP(1, ($Q$3:$Q$44=B11) * ($R$3:$R$44=A11), $S$3:$S$44)</f>
        <v>375000</v>
      </c>
      <c r="K1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1.00731066666667</v>
      </c>
      <c r="Q11" s="1" t="n">
        <v>2</v>
      </c>
      <c r="R11" s="1" t="n">
        <v>20</v>
      </c>
      <c r="S11" s="1" t="n">
        <v>40000</v>
      </c>
      <c r="T11" s="5"/>
      <c r="U11" s="5"/>
      <c r="V11" s="5"/>
    </row>
    <row r="12" customFormat="false" ht="15" hidden="false" customHeight="false" outlineLevel="0" collapsed="false">
      <c r="A12" s="1" t="n">
        <v>30</v>
      </c>
      <c r="B12" s="1" t="n">
        <v>1</v>
      </c>
      <c r="C12" s="1" t="s">
        <v>14</v>
      </c>
      <c r="D12" s="1" t="n">
        <v>0.0223</v>
      </c>
      <c r="E12" s="1" t="n">
        <v>0.10785</v>
      </c>
      <c r="F12" s="1" t="n">
        <v>107.85</v>
      </c>
      <c r="G12" s="1" t="n">
        <v>769912</v>
      </c>
      <c r="H12" s="1" t="n">
        <v>752741.5</v>
      </c>
      <c r="I12" s="1" t="n">
        <f aca="false">MIN(H$11:H$13)</f>
        <v>752741.5</v>
      </c>
      <c r="J12" s="1" t="n">
        <f aca="false" t="array" ref="J12:J12">_xlfn.XLOOKUP(1, ($Q$3:$Q$44=B12) * ($R$3:$R$44=A12), $S$3:$S$44)</f>
        <v>375000</v>
      </c>
      <c r="K1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1.00731066666667</v>
      </c>
      <c r="Q12" s="1" t="n">
        <v>2</v>
      </c>
      <c r="R12" s="1" t="n">
        <v>30</v>
      </c>
      <c r="S12" s="1" t="n">
        <v>42000</v>
      </c>
      <c r="T12" s="5"/>
      <c r="U12" s="5"/>
      <c r="V12" s="5"/>
    </row>
    <row r="13" customFormat="false" ht="15" hidden="false" customHeight="false" outlineLevel="0" collapsed="false">
      <c r="A13" s="1" t="n">
        <v>30</v>
      </c>
      <c r="B13" s="1" t="n">
        <v>1</v>
      </c>
      <c r="C13" s="1" t="s">
        <v>15</v>
      </c>
      <c r="D13" s="1" t="n">
        <v>0.0223</v>
      </c>
      <c r="E13" s="1" t="n">
        <v>22916.88237</v>
      </c>
      <c r="F13" s="1" t="n">
        <v>22916882.37</v>
      </c>
      <c r="G13" s="1" t="n">
        <v>769912</v>
      </c>
      <c r="H13" s="1" t="n">
        <v>752741.5</v>
      </c>
      <c r="I13" s="1" t="n">
        <f aca="false">MIN(H$11:H$13)</f>
        <v>752741.5</v>
      </c>
      <c r="J13" s="1" t="n">
        <f aca="false" t="array" ref="J13:J13">_xlfn.XLOOKUP(1, ($Q$3:$Q$44=B13) * ($R$3:$R$44=A13), $S$3:$S$44)</f>
        <v>375000</v>
      </c>
      <c r="K1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1.00731066666667</v>
      </c>
      <c r="Q13" s="1" t="n">
        <v>2</v>
      </c>
      <c r="R13" s="1" t="n">
        <v>50</v>
      </c>
      <c r="S13" s="1" t="n">
        <v>50000</v>
      </c>
      <c r="T13" s="5"/>
      <c r="U13" s="5"/>
      <c r="V13" s="5"/>
    </row>
    <row r="14" customFormat="false" ht="15" hidden="false" customHeight="false" outlineLevel="0" collapsed="false">
      <c r="A14" s="1" t="n">
        <v>50</v>
      </c>
      <c r="B14" s="1" t="n">
        <v>1</v>
      </c>
      <c r="C14" s="1" t="s">
        <v>12</v>
      </c>
      <c r="D14" s="1" t="n">
        <v>0.0313</v>
      </c>
      <c r="E14" s="1" t="n">
        <v>0.31904</v>
      </c>
      <c r="F14" s="1" t="n">
        <v>319.04</v>
      </c>
      <c r="G14" s="1" t="n">
        <v>1139997</v>
      </c>
      <c r="H14" s="1" t="n">
        <v>1104274</v>
      </c>
      <c r="I14" s="1" t="n">
        <f aca="false">MIN(H$14:H$16)</f>
        <v>1104274</v>
      </c>
      <c r="J14" s="1" t="n">
        <f aca="false" t="array" ref="J14:J14">_xlfn.XLOOKUP(1, ($Q$3:$Q$44=B14) * ($R$3:$R$44=A14), $S$3:$S$44)</f>
        <v>550000</v>
      </c>
      <c r="K1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1.00777090909091</v>
      </c>
      <c r="Q14" s="1" t="n">
        <v>2</v>
      </c>
      <c r="R14" s="1" t="n">
        <v>100</v>
      </c>
      <c r="S14" s="1" t="n">
        <v>50000</v>
      </c>
      <c r="T14" s="5"/>
      <c r="U14" s="5"/>
      <c r="V14" s="5"/>
    </row>
    <row r="15" customFormat="false" ht="15" hidden="false" customHeight="false" outlineLevel="0" collapsed="false">
      <c r="A15" s="1" t="n">
        <v>50</v>
      </c>
      <c r="B15" s="1" t="n">
        <v>1</v>
      </c>
      <c r="C15" s="1" t="s">
        <v>14</v>
      </c>
      <c r="D15" s="1" t="n">
        <v>0.0313</v>
      </c>
      <c r="E15" s="1" t="n">
        <v>0.22065</v>
      </c>
      <c r="F15" s="1" t="n">
        <v>220.65</v>
      </c>
      <c r="G15" s="1" t="n">
        <v>1139997</v>
      </c>
      <c r="H15" s="1" t="n">
        <v>1104274</v>
      </c>
      <c r="I15" s="1" t="n">
        <f aca="false">MIN(H$14:H$16)</f>
        <v>1104274</v>
      </c>
      <c r="J15" s="1" t="n">
        <f aca="false" t="array" ref="J15:J15">_xlfn.XLOOKUP(1, ($Q$3:$Q$44=B15) * ($R$3:$R$44=A15), $S$3:$S$44)</f>
        <v>550000</v>
      </c>
      <c r="K1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1.00777090909091</v>
      </c>
      <c r="Q15" s="1" t="n">
        <v>3</v>
      </c>
      <c r="R15" s="1" t="n">
        <v>5</v>
      </c>
      <c r="S15" s="1" t="n">
        <v>41000</v>
      </c>
      <c r="T15" s="5"/>
      <c r="U15" s="5"/>
      <c r="V15" s="5"/>
    </row>
    <row r="16" customFormat="false" ht="15" hidden="false" customHeight="false" outlineLevel="0" collapsed="false">
      <c r="A16" s="1" t="n">
        <v>50</v>
      </c>
      <c r="B16" s="1" t="n">
        <v>1</v>
      </c>
      <c r="C16" s="1" t="s">
        <v>15</v>
      </c>
      <c r="D16" s="1" t="n">
        <v>0</v>
      </c>
      <c r="E16" s="1" t="n">
        <v>0</v>
      </c>
      <c r="F16" s="1" t="n">
        <v>0</v>
      </c>
      <c r="G16" s="1" t="n">
        <v>1139997</v>
      </c>
      <c r="H16" s="1" t="n">
        <v>1139997</v>
      </c>
      <c r="I16" s="1" t="n">
        <f aca="false">MIN(H$14:H$16)</f>
        <v>1104274</v>
      </c>
      <c r="J16" s="1" t="n">
        <f aca="false" t="array" ref="J16:J16">_xlfn.XLOOKUP(1, ($Q$3:$Q$44=B16) * ($R$3:$R$44=A16), $S$3:$S$44)</f>
        <v>550000</v>
      </c>
      <c r="K16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16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  <c r="Q16" s="1" t="n">
        <v>3</v>
      </c>
      <c r="R16" s="1" t="n">
        <v>10</v>
      </c>
      <c r="S16" s="1" t="n">
        <v>31000</v>
      </c>
      <c r="T16" s="5"/>
      <c r="U16" s="5"/>
      <c r="V16" s="5"/>
    </row>
    <row r="17" customFormat="false" ht="15" hidden="false" customHeight="false" outlineLevel="0" collapsed="false">
      <c r="A17" s="1" t="n">
        <v>100</v>
      </c>
      <c r="B17" s="1" t="n">
        <v>1</v>
      </c>
      <c r="C17" s="1" t="s">
        <v>12</v>
      </c>
      <c r="D17" s="1" t="n">
        <v>0.0371</v>
      </c>
      <c r="E17" s="1" t="n">
        <v>0.57147</v>
      </c>
      <c r="F17" s="1" t="n">
        <v>571.47</v>
      </c>
      <c r="G17" s="1" t="n">
        <v>605619</v>
      </c>
      <c r="H17" s="1" t="n">
        <v>583172.5</v>
      </c>
      <c r="I17" s="1" t="n">
        <f aca="false">MIN(H$17:H$19)</f>
        <v>583172.5</v>
      </c>
      <c r="J17" s="1" t="n">
        <f aca="false" t="array" ref="J17:J17">_xlfn.XLOOKUP(1, ($Q$3:$Q$44=B17) * ($R$3:$R$44=A17), $S$3:$S$44)</f>
        <v>290000</v>
      </c>
      <c r="K1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1.01093965517241</v>
      </c>
      <c r="Q17" s="1" t="n">
        <v>3</v>
      </c>
      <c r="R17" s="1" t="n">
        <v>20</v>
      </c>
      <c r="S17" s="1" t="n">
        <v>102000</v>
      </c>
      <c r="T17" s="5"/>
      <c r="U17" s="5"/>
      <c r="V17" s="5"/>
    </row>
    <row r="18" customFormat="false" ht="15" hidden="false" customHeight="false" outlineLevel="0" collapsed="false">
      <c r="A18" s="1" t="n">
        <v>100</v>
      </c>
      <c r="B18" s="1" t="n">
        <v>1</v>
      </c>
      <c r="C18" s="1" t="s">
        <v>14</v>
      </c>
      <c r="D18" s="1" t="n">
        <v>0.0371</v>
      </c>
      <c r="E18" s="1" t="n">
        <v>0.50048</v>
      </c>
      <c r="F18" s="1" t="n">
        <v>500.48</v>
      </c>
      <c r="G18" s="1" t="n">
        <v>605619</v>
      </c>
      <c r="H18" s="1" t="n">
        <v>583172.5</v>
      </c>
      <c r="I18" s="1" t="n">
        <f aca="false">MIN(H$17:H$19)</f>
        <v>583172.5</v>
      </c>
      <c r="J18" s="1" t="n">
        <f aca="false" t="array" ref="J18:J18">_xlfn.XLOOKUP(1, ($Q$3:$Q$44=B18) * ($R$3:$R$44=A18), $S$3:$S$44)</f>
        <v>290000</v>
      </c>
      <c r="K1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1.01093965517241</v>
      </c>
      <c r="Q18" s="1" t="n">
        <v>3</v>
      </c>
      <c r="R18" s="1" t="n">
        <v>30</v>
      </c>
      <c r="S18" s="1" t="n">
        <v>216000</v>
      </c>
      <c r="T18" s="5"/>
      <c r="U18" s="5"/>
      <c r="V18" s="5"/>
    </row>
    <row r="19" customFormat="false" ht="15" hidden="false" customHeight="false" outlineLevel="0" collapsed="false">
      <c r="A19" s="1" t="n">
        <v>100</v>
      </c>
      <c r="B19" s="1" t="n">
        <v>1</v>
      </c>
      <c r="C19" s="1" t="s">
        <v>15</v>
      </c>
      <c r="D19" s="1" t="n">
        <v>0</v>
      </c>
      <c r="E19" s="1" t="n">
        <v>0</v>
      </c>
      <c r="F19" s="1" t="n">
        <v>0</v>
      </c>
      <c r="G19" s="1" t="n">
        <v>605619</v>
      </c>
      <c r="H19" s="1" t="n">
        <v>605619</v>
      </c>
      <c r="I19" s="1" t="n">
        <f aca="false">MIN(H$17:H$19)</f>
        <v>583172.5</v>
      </c>
      <c r="J19" s="1" t="n">
        <f aca="false" t="array" ref="J19:J19">_xlfn.XLOOKUP(1, ($Q$3:$Q$44=B19) * ($R$3:$R$44=A19), $S$3:$S$44)</f>
        <v>290000</v>
      </c>
      <c r="K19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19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  <c r="Q19" s="1" t="n">
        <v>3</v>
      </c>
      <c r="R19" s="1" t="n">
        <v>50</v>
      </c>
      <c r="S19" s="1" t="n">
        <v>619000</v>
      </c>
      <c r="T19" s="5"/>
      <c r="U19" s="5"/>
      <c r="V19" s="5"/>
    </row>
    <row r="20" customFormat="false" ht="15" hidden="false" customHeight="false" outlineLevel="0" collapsed="false">
      <c r="A20" s="1" t="n">
        <v>5</v>
      </c>
      <c r="B20" s="1" t="n">
        <v>2</v>
      </c>
      <c r="C20" s="1" t="s">
        <v>12</v>
      </c>
      <c r="D20" s="1" t="n">
        <v>0.7989</v>
      </c>
      <c r="E20" s="1" t="n">
        <v>0.0948</v>
      </c>
      <c r="F20" s="1" t="n">
        <v>94.8</v>
      </c>
      <c r="G20" s="1" t="n">
        <v>400872</v>
      </c>
      <c r="H20" s="1" t="n">
        <v>80626</v>
      </c>
      <c r="I20" s="1" t="n">
        <f aca="false">MIN(H$20:H$22)</f>
        <v>80626</v>
      </c>
      <c r="J20" s="1" t="n">
        <f aca="false" t="array" ref="J20:J20">_xlfn.XLOOKUP(1, ($Q$3:$Q$44=B20) * ($R$3:$R$44=A20), $S$3:$S$44)</f>
        <v>50000</v>
      </c>
      <c r="K2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2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0.61252</v>
      </c>
      <c r="Q20" s="1" t="n">
        <v>3</v>
      </c>
      <c r="R20" s="1" t="n">
        <v>100</v>
      </c>
      <c r="S20" s="1" t="n">
        <v>2012000</v>
      </c>
      <c r="T20" s="5"/>
      <c r="U20" s="5"/>
      <c r="V20" s="5"/>
    </row>
    <row r="21" customFormat="false" ht="15" hidden="false" customHeight="false" outlineLevel="0" collapsed="false">
      <c r="A21" s="1" t="n">
        <v>5</v>
      </c>
      <c r="B21" s="1" t="n">
        <v>2</v>
      </c>
      <c r="C21" s="1" t="s">
        <v>14</v>
      </c>
      <c r="D21" s="1" t="n">
        <v>0.7989</v>
      </c>
      <c r="E21" s="1" t="n">
        <v>0.10014</v>
      </c>
      <c r="F21" s="1" t="n">
        <v>100.14</v>
      </c>
      <c r="G21" s="1" t="n">
        <v>400872</v>
      </c>
      <c r="H21" s="1" t="n">
        <v>80626</v>
      </c>
      <c r="I21" s="1" t="n">
        <f aca="false">MIN(H$20:H$22)</f>
        <v>80626</v>
      </c>
      <c r="J21" s="1" t="n">
        <f aca="false" t="array" ref="J21:J21">_xlfn.XLOOKUP(1, ($Q$3:$Q$44=B21) * ($R$3:$R$44=A21), $S$3:$S$44)</f>
        <v>50000</v>
      </c>
      <c r="K2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2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0.61252</v>
      </c>
      <c r="Q21" s="1" t="n">
        <v>4</v>
      </c>
      <c r="R21" s="1" t="n">
        <v>5</v>
      </c>
      <c r="S21" s="1" t="n">
        <v>9000</v>
      </c>
      <c r="T21" s="5"/>
      <c r="U21" s="5"/>
      <c r="V21" s="5"/>
    </row>
    <row r="22" customFormat="false" ht="15" hidden="false" customHeight="false" outlineLevel="0" collapsed="false">
      <c r="A22" s="1" t="n">
        <v>5</v>
      </c>
      <c r="B22" s="1" t="n">
        <v>2</v>
      </c>
      <c r="C22" s="1" t="s">
        <v>15</v>
      </c>
      <c r="D22" s="1" t="n">
        <v>0.7989</v>
      </c>
      <c r="E22" s="1" t="n">
        <v>0.06091</v>
      </c>
      <c r="F22" s="1" t="n">
        <v>60.91</v>
      </c>
      <c r="G22" s="1" t="n">
        <v>400872</v>
      </c>
      <c r="H22" s="1" t="n">
        <v>80626</v>
      </c>
      <c r="I22" s="1" t="n">
        <f aca="false">MIN(H$20:H$22)</f>
        <v>80626</v>
      </c>
      <c r="J22" s="1" t="n">
        <f aca="false" t="array" ref="J22:J22">_xlfn.XLOOKUP(1, ($Q$3:$Q$44=B22) * ($R$3:$R$44=A22), $S$3:$S$44)</f>
        <v>50000</v>
      </c>
      <c r="K2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2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0.61252</v>
      </c>
      <c r="Q22" s="1" t="n">
        <v>4</v>
      </c>
      <c r="R22" s="1" t="n">
        <v>10</v>
      </c>
      <c r="S22" s="1" t="n">
        <v>17500</v>
      </c>
      <c r="T22" s="5"/>
      <c r="U22" s="5"/>
      <c r="V22" s="5"/>
    </row>
    <row r="23" customFormat="false" ht="15" hidden="false" customHeight="false" outlineLevel="0" collapsed="false">
      <c r="A23" s="1" t="n">
        <v>10</v>
      </c>
      <c r="B23" s="1" t="n">
        <v>2</v>
      </c>
      <c r="C23" s="1" t="s">
        <v>12</v>
      </c>
      <c r="D23" s="1" t="n">
        <v>0.4582</v>
      </c>
      <c r="E23" s="1" t="n">
        <v>0.08905</v>
      </c>
      <c r="F23" s="1" t="n">
        <v>89.05</v>
      </c>
      <c r="G23" s="1" t="n">
        <v>192489</v>
      </c>
      <c r="H23" s="1" t="n">
        <v>104294</v>
      </c>
      <c r="I23" s="1" t="n">
        <f aca="false">MIN(H$23:H$25)</f>
        <v>32249</v>
      </c>
      <c r="J23" s="1" t="n">
        <f aca="false" t="array" ref="J23:J23">_xlfn.XLOOKUP(1, ($Q$3:$Q$44=B23) * ($R$3:$R$44=A23), $S$3:$S$44)</f>
        <v>20000</v>
      </c>
      <c r="K2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2.23402276039567</v>
      </c>
      <c r="L2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4.2147</v>
      </c>
      <c r="Q23" s="1" t="n">
        <v>4</v>
      </c>
      <c r="R23" s="1" t="n">
        <v>20</v>
      </c>
      <c r="S23" s="1" t="n">
        <v>46000</v>
      </c>
      <c r="T23" s="5"/>
      <c r="U23" s="5"/>
      <c r="V23" s="5"/>
    </row>
    <row r="24" customFormat="false" ht="15" hidden="false" customHeight="false" outlineLevel="0" collapsed="false">
      <c r="A24" s="1" t="n">
        <v>10</v>
      </c>
      <c r="B24" s="1" t="n">
        <v>2</v>
      </c>
      <c r="C24" s="1" t="s">
        <v>14</v>
      </c>
      <c r="D24" s="1" t="n">
        <v>0.4582</v>
      </c>
      <c r="E24" s="1" t="n">
        <v>0.07022</v>
      </c>
      <c r="F24" s="1" t="n">
        <v>70.22</v>
      </c>
      <c r="G24" s="1" t="n">
        <v>192489</v>
      </c>
      <c r="H24" s="1" t="n">
        <v>104294</v>
      </c>
      <c r="I24" s="1" t="n">
        <f aca="false">MIN(H$23:H$25)</f>
        <v>32249</v>
      </c>
      <c r="J24" s="1" t="n">
        <f aca="false" t="array" ref="J24:J24">_xlfn.XLOOKUP(1, ($Q$3:$Q$44=B24) * ($R$3:$R$44=A24), $S$3:$S$44)</f>
        <v>20000</v>
      </c>
      <c r="K2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2.23402276039567</v>
      </c>
      <c r="L2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4.2147</v>
      </c>
      <c r="Q24" s="1" t="n">
        <v>4</v>
      </c>
      <c r="R24" s="1" t="n">
        <v>30</v>
      </c>
      <c r="S24" s="1" t="n">
        <v>41300</v>
      </c>
      <c r="T24" s="5"/>
      <c r="U24" s="5"/>
      <c r="V24" s="5"/>
    </row>
    <row r="25" customFormat="false" ht="15" hidden="false" customHeight="false" outlineLevel="0" collapsed="false">
      <c r="A25" s="1" t="n">
        <v>10</v>
      </c>
      <c r="B25" s="1" t="n">
        <v>2</v>
      </c>
      <c r="C25" s="1" t="s">
        <v>15</v>
      </c>
      <c r="D25" s="1" t="n">
        <v>0.8325</v>
      </c>
      <c r="E25" s="1" t="n">
        <v>0.07916</v>
      </c>
      <c r="F25" s="1" t="n">
        <v>79.16</v>
      </c>
      <c r="G25" s="1" t="n">
        <v>192489</v>
      </c>
      <c r="H25" s="1" t="n">
        <v>32249</v>
      </c>
      <c r="I25" s="1" t="n">
        <f aca="false">MIN(H$23:H$25)</f>
        <v>32249</v>
      </c>
      <c r="J25" s="1" t="n">
        <f aca="false" t="array" ref="J25:J25">_xlfn.XLOOKUP(1, ($Q$3:$Q$44=B25) * ($R$3:$R$44=A25), $S$3:$S$44)</f>
        <v>20000</v>
      </c>
      <c r="K2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2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0.61245</v>
      </c>
      <c r="Q25" s="1" t="n">
        <v>4</v>
      </c>
      <c r="R25" s="1" t="n">
        <v>50</v>
      </c>
      <c r="S25" s="1" t="n">
        <v>110950</v>
      </c>
      <c r="T25" s="5"/>
      <c r="U25" s="5"/>
      <c r="V25" s="5"/>
    </row>
    <row r="26" customFormat="false" ht="15" hidden="false" customHeight="false" outlineLevel="0" collapsed="false">
      <c r="A26" s="1" t="n">
        <v>20</v>
      </c>
      <c r="B26" s="1" t="n">
        <v>2</v>
      </c>
      <c r="C26" s="1" t="s">
        <v>12</v>
      </c>
      <c r="D26" s="1" t="n">
        <v>0.571</v>
      </c>
      <c r="E26" s="1" t="n">
        <v>0.58998</v>
      </c>
      <c r="F26" s="1" t="n">
        <v>589.98</v>
      </c>
      <c r="G26" s="1" t="n">
        <v>225112</v>
      </c>
      <c r="H26" s="1" t="n">
        <v>96580</v>
      </c>
      <c r="I26" s="1" t="n">
        <f aca="false">MIN(H$26:H$28)</f>
        <v>64773</v>
      </c>
      <c r="J26" s="1" t="n">
        <f aca="false" t="array" ref="J26:J26">_xlfn.XLOOKUP(1, ($Q$3:$Q$44=B26) * ($R$3:$R$44=A26), $S$3:$S$44)</f>
        <v>40000</v>
      </c>
      <c r="K2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0.49105337100335</v>
      </c>
      <c r="L2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1.4145</v>
      </c>
      <c r="Q26" s="1" t="n">
        <v>4</v>
      </c>
      <c r="R26" s="1" t="n">
        <v>100</v>
      </c>
      <c r="S26" s="1" t="n">
        <v>30900</v>
      </c>
      <c r="T26" s="5"/>
      <c r="U26" s="5"/>
      <c r="V26" s="5"/>
    </row>
    <row r="27" customFormat="false" ht="15" hidden="false" customHeight="false" outlineLevel="0" collapsed="false">
      <c r="A27" s="1" t="n">
        <v>20</v>
      </c>
      <c r="B27" s="1" t="n">
        <v>2</v>
      </c>
      <c r="C27" s="1" t="s">
        <v>14</v>
      </c>
      <c r="D27" s="1" t="n">
        <v>0.5709</v>
      </c>
      <c r="E27" s="1" t="n">
        <v>0.27199</v>
      </c>
      <c r="F27" s="1" t="n">
        <v>271.99</v>
      </c>
      <c r="G27" s="1" t="n">
        <v>225112</v>
      </c>
      <c r="H27" s="1" t="n">
        <v>96592</v>
      </c>
      <c r="I27" s="1" t="n">
        <f aca="false">MIN(H$26:H$28)</f>
        <v>64773</v>
      </c>
      <c r="J27" s="1" t="n">
        <f aca="false" t="array" ref="J27:J27">_xlfn.XLOOKUP(1, ($Q$3:$Q$44=B27) * ($R$3:$R$44=A27), $S$3:$S$44)</f>
        <v>40000</v>
      </c>
      <c r="K2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0.491238633381193</v>
      </c>
      <c r="L2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1.4148</v>
      </c>
      <c r="Q27" s="1" t="n">
        <v>5</v>
      </c>
      <c r="R27" s="1" t="n">
        <v>5</v>
      </c>
      <c r="S27" s="1" t="n">
        <v>24000</v>
      </c>
      <c r="T27" s="5"/>
      <c r="U27" s="5"/>
      <c r="V27" s="5"/>
    </row>
    <row r="28" customFormat="false" ht="15" hidden="false" customHeight="false" outlineLevel="0" collapsed="false">
      <c r="A28" s="1" t="n">
        <v>20</v>
      </c>
      <c r="B28" s="1" t="n">
        <v>2</v>
      </c>
      <c r="C28" s="1" t="s">
        <v>15</v>
      </c>
      <c r="D28" s="1" t="n">
        <v>0.7123</v>
      </c>
      <c r="E28" s="1" t="n">
        <v>4.85079</v>
      </c>
      <c r="F28" s="1" t="n">
        <v>4850.79</v>
      </c>
      <c r="G28" s="1" t="n">
        <v>225112</v>
      </c>
      <c r="H28" s="1" t="n">
        <v>64773</v>
      </c>
      <c r="I28" s="1" t="n">
        <f aca="false">MIN(H$26:H$28)</f>
        <v>64773</v>
      </c>
      <c r="J28" s="1" t="n">
        <f aca="false" t="array" ref="J28:J28">_xlfn.XLOOKUP(1, ($Q$3:$Q$44=B28) * ($R$3:$R$44=A28), $S$3:$S$44)</f>
        <v>40000</v>
      </c>
      <c r="K2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2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0.619325</v>
      </c>
      <c r="Q28" s="1" t="n">
        <v>5</v>
      </c>
      <c r="R28" s="1" t="n">
        <v>10</v>
      </c>
      <c r="S28" s="1" t="n">
        <v>19500</v>
      </c>
      <c r="T28" s="5"/>
      <c r="U28" s="5"/>
      <c r="V28" s="5"/>
    </row>
    <row r="29" customFormat="false" ht="15" hidden="false" customHeight="false" outlineLevel="0" collapsed="false">
      <c r="A29" s="1" t="n">
        <v>30</v>
      </c>
      <c r="B29" s="1" t="n">
        <v>2</v>
      </c>
      <c r="C29" s="1" t="s">
        <v>12</v>
      </c>
      <c r="D29" s="1" t="n">
        <v>0.823</v>
      </c>
      <c r="E29" s="1" t="n">
        <v>0.41866</v>
      </c>
      <c r="F29" s="1" t="n">
        <v>418.66</v>
      </c>
      <c r="G29" s="1" t="n">
        <v>409107</v>
      </c>
      <c r="H29" s="1" t="n">
        <v>72404</v>
      </c>
      <c r="I29" s="1" t="n">
        <f aca="false">MIN(H$29:H$31)</f>
        <v>48611</v>
      </c>
      <c r="J29" s="1" t="n">
        <f aca="false" t="array" ref="J29:J29">_xlfn.XLOOKUP(1, ($Q$3:$Q$44=B29) * ($R$3:$R$44=A29), $S$3:$S$44)</f>
        <v>42000</v>
      </c>
      <c r="K2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0.489457118759129</v>
      </c>
      <c r="L2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0.723904761904762</v>
      </c>
      <c r="Q29" s="1" t="n">
        <v>5</v>
      </c>
      <c r="R29" s="1" t="n">
        <v>20</v>
      </c>
      <c r="S29" s="1" t="n">
        <v>31250</v>
      </c>
      <c r="T29" s="5"/>
      <c r="U29" s="5"/>
      <c r="V29" s="5"/>
    </row>
    <row r="30" customFormat="false" ht="15" hidden="false" customHeight="false" outlineLevel="0" collapsed="false">
      <c r="A30" s="1" t="n">
        <v>30</v>
      </c>
      <c r="B30" s="1" t="n">
        <v>2</v>
      </c>
      <c r="C30" s="1" t="s">
        <v>14</v>
      </c>
      <c r="D30" s="1" t="n">
        <v>0.8229</v>
      </c>
      <c r="E30" s="1" t="n">
        <v>0.2673</v>
      </c>
      <c r="F30" s="1" t="n">
        <v>267.3</v>
      </c>
      <c r="G30" s="1" t="n">
        <v>409107</v>
      </c>
      <c r="H30" s="1" t="n">
        <v>72461</v>
      </c>
      <c r="I30" s="1" t="n">
        <f aca="false">MIN(H$29:H$31)</f>
        <v>48611</v>
      </c>
      <c r="J30" s="1" t="n">
        <f aca="false" t="array" ref="J30:J30">_xlfn.XLOOKUP(1, ($Q$3:$Q$44=B30) * ($R$3:$R$44=A30), $S$3:$S$44)</f>
        <v>42000</v>
      </c>
      <c r="K3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0.490629692867869</v>
      </c>
      <c r="L3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0.725261904761905</v>
      </c>
      <c r="Q30" s="1" t="n">
        <v>5</v>
      </c>
      <c r="R30" s="1" t="n">
        <v>30</v>
      </c>
      <c r="S30" s="1" t="n">
        <v>37250</v>
      </c>
      <c r="T30" s="5"/>
      <c r="U30" s="5"/>
      <c r="V30" s="5"/>
    </row>
    <row r="31" customFormat="false" ht="15" hidden="false" customHeight="false" outlineLevel="0" collapsed="false">
      <c r="A31" s="1" t="n">
        <v>30</v>
      </c>
      <c r="B31" s="1" t="n">
        <v>2</v>
      </c>
      <c r="C31" s="1" t="s">
        <v>15</v>
      </c>
      <c r="D31" s="1" t="n">
        <v>0.8812</v>
      </c>
      <c r="E31" s="1" t="n">
        <v>21.9501</v>
      </c>
      <c r="F31" s="1" t="n">
        <v>21950.1</v>
      </c>
      <c r="G31" s="1" t="n">
        <v>409107</v>
      </c>
      <c r="H31" s="1" t="n">
        <v>48611</v>
      </c>
      <c r="I31" s="1" t="n">
        <f aca="false">MIN(H$29:H$31)</f>
        <v>48611</v>
      </c>
      <c r="J31" s="1" t="n">
        <f aca="false" t="array" ref="J31:J31">_xlfn.XLOOKUP(1, ($Q$3:$Q$44=B31) * ($R$3:$R$44=A31), $S$3:$S$44)</f>
        <v>42000</v>
      </c>
      <c r="K3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3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0.157404761904762</v>
      </c>
      <c r="Q31" s="1" t="n">
        <v>5</v>
      </c>
      <c r="R31" s="1" t="n">
        <v>50</v>
      </c>
      <c r="S31" s="1" t="n">
        <v>32875</v>
      </c>
      <c r="T31" s="5"/>
      <c r="U31" s="5"/>
      <c r="V31" s="5"/>
    </row>
    <row r="32" customFormat="false" ht="15" hidden="false" customHeight="false" outlineLevel="0" collapsed="false">
      <c r="A32" s="1" t="n">
        <v>50</v>
      </c>
      <c r="B32" s="1" t="n">
        <v>2</v>
      </c>
      <c r="C32" s="1" t="s">
        <v>12</v>
      </c>
      <c r="D32" s="1" t="n">
        <v>0.7451</v>
      </c>
      <c r="E32" s="1" t="n">
        <v>0.43052</v>
      </c>
      <c r="F32" s="1" t="n">
        <v>430.52</v>
      </c>
      <c r="G32" s="1" t="n">
        <v>261540</v>
      </c>
      <c r="H32" s="1" t="n">
        <v>66662</v>
      </c>
      <c r="I32" s="1" t="n">
        <f aca="false">MIN(H$32:H$34)</f>
        <v>60921</v>
      </c>
      <c r="J32" s="1" t="n">
        <f aca="false" t="array" ref="J32:J32">_xlfn.XLOOKUP(1, ($Q$3:$Q$44=B32) * ($R$3:$R$44=A32), $S$3:$S$44)</f>
        <v>50000</v>
      </c>
      <c r="K3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0.0942367984767158</v>
      </c>
      <c r="L3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0.33324</v>
      </c>
      <c r="Q32" s="1" t="n">
        <v>5</v>
      </c>
      <c r="R32" s="1" t="n">
        <v>100</v>
      </c>
      <c r="S32" s="1" t="n">
        <v>29600</v>
      </c>
      <c r="T32" s="5"/>
      <c r="U32" s="5"/>
      <c r="V32" s="5"/>
    </row>
    <row r="33" customFormat="false" ht="15" hidden="false" customHeight="false" outlineLevel="0" collapsed="false">
      <c r="A33" s="1" t="n">
        <v>50</v>
      </c>
      <c r="B33" s="1" t="n">
        <v>2</v>
      </c>
      <c r="C33" s="1" t="s">
        <v>14</v>
      </c>
      <c r="D33" s="1" t="n">
        <v>0.7441</v>
      </c>
      <c r="E33" s="1" t="n">
        <v>0.23671</v>
      </c>
      <c r="F33" s="1" t="n">
        <v>236.71</v>
      </c>
      <c r="G33" s="1" t="n">
        <v>261540</v>
      </c>
      <c r="H33" s="1" t="n">
        <v>66935</v>
      </c>
      <c r="I33" s="1" t="n">
        <f aca="false">MIN(H$32:H$34)</f>
        <v>60921</v>
      </c>
      <c r="J33" s="1" t="n">
        <f aca="false" t="array" ref="J33:J33">_xlfn.XLOOKUP(1, ($Q$3:$Q$44=B33) * ($R$3:$R$44=A33), $S$3:$S$44)</f>
        <v>50000</v>
      </c>
      <c r="K3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0.0987180118514141</v>
      </c>
      <c r="L3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0.3387</v>
      </c>
      <c r="Q33" s="1" t="n">
        <v>6</v>
      </c>
      <c r="R33" s="1" t="n">
        <v>5</v>
      </c>
      <c r="S33" s="1" t="n">
        <v>13500</v>
      </c>
      <c r="T33" s="5"/>
      <c r="U33" s="5"/>
      <c r="V33" s="5"/>
    </row>
    <row r="34" customFormat="false" ht="15" hidden="false" customHeight="false" outlineLevel="0" collapsed="false">
      <c r="A34" s="1" t="n">
        <v>50</v>
      </c>
      <c r="B34" s="1" t="n">
        <v>2</v>
      </c>
      <c r="C34" s="1" t="s">
        <v>15</v>
      </c>
      <c r="D34" s="1" t="n">
        <v>0.7671</v>
      </c>
      <c r="E34" s="1" t="n">
        <v>14894.91755</v>
      </c>
      <c r="F34" s="1" t="n">
        <v>14894917.55</v>
      </c>
      <c r="G34" s="1" t="n">
        <v>261540</v>
      </c>
      <c r="H34" s="1" t="n">
        <v>60921</v>
      </c>
      <c r="I34" s="1" t="n">
        <f aca="false">MIN(H$32:H$34)</f>
        <v>60921</v>
      </c>
      <c r="J34" s="1" t="n">
        <f aca="false" t="array" ref="J34:J34">_xlfn.XLOOKUP(1, ($Q$3:$Q$44=B34) * ($R$3:$R$44=A34), $S$3:$S$44)</f>
        <v>50000</v>
      </c>
      <c r="K34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34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  <c r="Q34" s="1" t="n">
        <v>6</v>
      </c>
      <c r="R34" s="1" t="n">
        <v>10</v>
      </c>
      <c r="S34" s="1" t="n">
        <v>27000</v>
      </c>
      <c r="T34" s="5"/>
      <c r="U34" s="5"/>
      <c r="V34" s="5"/>
    </row>
    <row r="35" customFormat="false" ht="15" hidden="false" customHeight="false" outlineLevel="0" collapsed="false">
      <c r="A35" s="1" t="n">
        <v>100</v>
      </c>
      <c r="B35" s="1" t="n">
        <v>2</v>
      </c>
      <c r="C35" s="1" t="s">
        <v>12</v>
      </c>
      <c r="D35" s="1" t="n">
        <v>0.6826</v>
      </c>
      <c r="E35" s="1" t="n">
        <v>1.37956</v>
      </c>
      <c r="F35" s="1" t="n">
        <v>1379.56</v>
      </c>
      <c r="G35" s="1" t="n">
        <v>283097</v>
      </c>
      <c r="H35" s="1" t="n">
        <v>89865</v>
      </c>
      <c r="I35" s="1" t="n">
        <f aca="false">MIN(H$35:H$37)</f>
        <v>89865</v>
      </c>
      <c r="J35" s="1" t="n">
        <f aca="false" t="array" ref="J35:J35">_xlfn.XLOOKUP(1, ($Q$3:$Q$44=B35) * ($R$3:$R$44=A35), $S$3:$S$44)</f>
        <v>50000</v>
      </c>
      <c r="K3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3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0.7973</v>
      </c>
      <c r="Q35" s="1" t="n">
        <v>6</v>
      </c>
      <c r="R35" s="1" t="n">
        <v>20</v>
      </c>
      <c r="S35" s="1" t="n">
        <v>72000</v>
      </c>
      <c r="T35" s="5"/>
      <c r="U35" s="5"/>
      <c r="V35" s="5"/>
    </row>
    <row r="36" customFormat="false" ht="15" hidden="false" customHeight="false" outlineLevel="0" collapsed="false">
      <c r="A36" s="1" t="n">
        <v>100</v>
      </c>
      <c r="B36" s="1" t="n">
        <v>2</v>
      </c>
      <c r="C36" s="1" t="s">
        <v>14</v>
      </c>
      <c r="D36" s="1" t="n">
        <v>0.6822</v>
      </c>
      <c r="E36" s="1" t="n">
        <v>1.06151</v>
      </c>
      <c r="F36" s="1" t="n">
        <v>1061.51</v>
      </c>
      <c r="G36" s="1" t="n">
        <v>283097</v>
      </c>
      <c r="H36" s="1" t="n">
        <v>89977</v>
      </c>
      <c r="I36" s="1" t="n">
        <f aca="false">MIN(H$35:H$37)</f>
        <v>89865</v>
      </c>
      <c r="J36" s="1" t="n">
        <f aca="false" t="array" ref="J36:J36">_xlfn.XLOOKUP(1, ($Q$3:$Q$44=B36) * ($R$3:$R$44=A36), $S$3:$S$44)</f>
        <v>50000</v>
      </c>
      <c r="K3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0.00124631391531742</v>
      </c>
      <c r="L3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0.79954</v>
      </c>
      <c r="Q36" s="1" t="n">
        <v>6</v>
      </c>
      <c r="R36" s="1" t="n">
        <v>30</v>
      </c>
      <c r="S36" s="1" t="n">
        <v>259500</v>
      </c>
      <c r="T36" s="5"/>
      <c r="U36" s="5"/>
      <c r="V36" s="5"/>
    </row>
    <row r="37" customFormat="false" ht="15" hidden="false" customHeight="false" outlineLevel="0" collapsed="false">
      <c r="A37" s="1" t="n">
        <v>100</v>
      </c>
      <c r="B37" s="1" t="n">
        <v>2</v>
      </c>
      <c r="C37" s="1" t="s">
        <v>15</v>
      </c>
      <c r="D37" s="1" t="n">
        <v>0</v>
      </c>
      <c r="E37" s="1" t="n">
        <v>0</v>
      </c>
      <c r="F37" s="1" t="n">
        <v>0</v>
      </c>
      <c r="G37" s="1" t="n">
        <v>283097</v>
      </c>
      <c r="H37" s="1" t="n">
        <v>283097</v>
      </c>
      <c r="I37" s="1" t="n">
        <f aca="false">MIN(H$35:H$37)</f>
        <v>89865</v>
      </c>
      <c r="J37" s="1" t="n">
        <f aca="false" t="array" ref="J37:J37">_xlfn.XLOOKUP(1, ($Q$3:$Q$44=B37) * ($R$3:$R$44=A37), $S$3:$S$44)</f>
        <v>50000</v>
      </c>
      <c r="K37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37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  <c r="Q37" s="1" t="n">
        <v>6</v>
      </c>
      <c r="R37" s="1" t="n">
        <v>50</v>
      </c>
      <c r="S37" s="1" t="n">
        <v>201000</v>
      </c>
      <c r="T37" s="5"/>
      <c r="U37" s="5"/>
      <c r="V37" s="5"/>
    </row>
    <row r="38" customFormat="false" ht="15" hidden="false" customHeight="false" outlineLevel="0" collapsed="false">
      <c r="A38" s="1" t="n">
        <v>5</v>
      </c>
      <c r="B38" s="1" t="n">
        <v>3</v>
      </c>
      <c r="C38" s="1" t="s">
        <v>12</v>
      </c>
      <c r="D38" s="1" t="n">
        <v>0.6033</v>
      </c>
      <c r="E38" s="1" t="n">
        <v>0.06994</v>
      </c>
      <c r="F38" s="1" t="n">
        <v>69.94</v>
      </c>
      <c r="G38" s="1" t="n">
        <v>126285</v>
      </c>
      <c r="H38" s="1" t="n">
        <v>50092</v>
      </c>
      <c r="I38" s="1" t="n">
        <f aca="false">MIN(H$38:H$40)</f>
        <v>46143</v>
      </c>
      <c r="J38" s="1" t="n">
        <f aca="false" t="array" ref="J38:J38">_xlfn.XLOOKUP(1, ($Q$3:$Q$44=B38) * ($R$3:$R$44=A38), $S$3:$S$44)</f>
        <v>41000</v>
      </c>
      <c r="K3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0.085581778384587</v>
      </c>
      <c r="L3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0.221756097560976</v>
      </c>
      <c r="Q38" s="1" t="n">
        <v>6</v>
      </c>
      <c r="R38" s="1" t="n">
        <v>100</v>
      </c>
      <c r="S38" s="1" t="n">
        <v>212000</v>
      </c>
      <c r="T38" s="5"/>
      <c r="U38" s="5"/>
      <c r="V38" s="5"/>
    </row>
    <row r="39" customFormat="false" ht="15" hidden="false" customHeight="false" outlineLevel="0" collapsed="false">
      <c r="A39" s="1" t="n">
        <v>5</v>
      </c>
      <c r="B39" s="1" t="n">
        <v>3</v>
      </c>
      <c r="C39" s="1" t="s">
        <v>14</v>
      </c>
      <c r="D39" s="1" t="n">
        <v>0.6033</v>
      </c>
      <c r="E39" s="1" t="n">
        <v>0.03619</v>
      </c>
      <c r="F39" s="1" t="n">
        <v>36.19</v>
      </c>
      <c r="G39" s="1" t="n">
        <v>126285</v>
      </c>
      <c r="H39" s="1" t="n">
        <v>50092</v>
      </c>
      <c r="I39" s="1" t="n">
        <f aca="false">MIN(H$38:H$40)</f>
        <v>46143</v>
      </c>
      <c r="J39" s="1" t="n">
        <f aca="false" t="array" ref="J39:J39">_xlfn.XLOOKUP(1, ($Q$3:$Q$44=B39) * ($R$3:$R$44=A39), $S$3:$S$44)</f>
        <v>41000</v>
      </c>
      <c r="K3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0.085581778384587</v>
      </c>
      <c r="L3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0.221756097560976</v>
      </c>
      <c r="Q39" s="1" t="n">
        <v>7</v>
      </c>
      <c r="R39" s="1" t="n">
        <v>5</v>
      </c>
      <c r="S39" s="1" t="n">
        <v>37500</v>
      </c>
      <c r="T39" s="5"/>
      <c r="U39" s="5"/>
      <c r="V39" s="5"/>
    </row>
    <row r="40" customFormat="false" ht="15" hidden="false" customHeight="false" outlineLevel="0" collapsed="false">
      <c r="A40" s="1" t="n">
        <v>5</v>
      </c>
      <c r="B40" s="1" t="n">
        <v>3</v>
      </c>
      <c r="C40" s="1" t="s">
        <v>15</v>
      </c>
      <c r="D40" s="1" t="n">
        <v>0.6346</v>
      </c>
      <c r="E40" s="1" t="n">
        <v>0.03538</v>
      </c>
      <c r="F40" s="1" t="n">
        <v>35.38</v>
      </c>
      <c r="G40" s="1" t="n">
        <v>126285</v>
      </c>
      <c r="H40" s="1" t="n">
        <v>46143</v>
      </c>
      <c r="I40" s="1" t="n">
        <f aca="false">MIN(H$38:H$40)</f>
        <v>46143</v>
      </c>
      <c r="J40" s="1" t="n">
        <f aca="false" t="array" ref="J40:J40">_xlfn.XLOOKUP(1, ($Q$3:$Q$44=B40) * ($R$3:$R$44=A40), $S$3:$S$44)</f>
        <v>41000</v>
      </c>
      <c r="K4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0.125439024390244</v>
      </c>
      <c r="Q40" s="1" t="n">
        <v>7</v>
      </c>
      <c r="R40" s="1" t="n">
        <v>10</v>
      </c>
      <c r="S40" s="1" t="n">
        <v>75000</v>
      </c>
      <c r="T40" s="5"/>
      <c r="U40" s="5"/>
      <c r="V40" s="5"/>
    </row>
    <row r="41" customFormat="false" ht="15" hidden="false" customHeight="false" outlineLevel="0" collapsed="false">
      <c r="A41" s="1" t="n">
        <v>10</v>
      </c>
      <c r="B41" s="1" t="n">
        <v>3</v>
      </c>
      <c r="C41" s="1" t="s">
        <v>12</v>
      </c>
      <c r="D41" s="1" t="n">
        <v>0.6604</v>
      </c>
      <c r="E41" s="1" t="n">
        <v>0.30603</v>
      </c>
      <c r="F41" s="1" t="n">
        <v>306.03</v>
      </c>
      <c r="G41" s="1" t="n">
        <v>123980</v>
      </c>
      <c r="H41" s="1" t="n">
        <v>42100</v>
      </c>
      <c r="I41" s="1" t="n">
        <f aca="false">MIN(H$41:H$43)</f>
        <v>42100</v>
      </c>
      <c r="J41" s="1" t="n">
        <f aca="false" t="array" ref="J41:J41">_xlfn.XLOOKUP(1, ($Q$3:$Q$44=B41) * ($R$3:$R$44=A41), $S$3:$S$44)</f>
        <v>31000</v>
      </c>
      <c r="K4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0.358064516129032</v>
      </c>
      <c r="Q41" s="1" t="n">
        <v>7</v>
      </c>
      <c r="R41" s="1" t="n">
        <v>20</v>
      </c>
      <c r="S41" s="1" t="n">
        <v>44000</v>
      </c>
      <c r="T41" s="5"/>
      <c r="U41" s="5"/>
      <c r="V41" s="5"/>
    </row>
    <row r="42" customFormat="false" ht="15" hidden="false" customHeight="false" outlineLevel="0" collapsed="false">
      <c r="A42" s="1" t="n">
        <v>10</v>
      </c>
      <c r="B42" s="1" t="n">
        <v>3</v>
      </c>
      <c r="C42" s="1" t="s">
        <v>14</v>
      </c>
      <c r="D42" s="1" t="n">
        <v>0.6604</v>
      </c>
      <c r="E42" s="1" t="n">
        <v>0.27936</v>
      </c>
      <c r="F42" s="1" t="n">
        <v>279.36</v>
      </c>
      <c r="G42" s="1" t="n">
        <v>123980</v>
      </c>
      <c r="H42" s="1" t="n">
        <v>42100</v>
      </c>
      <c r="I42" s="1" t="n">
        <f aca="false">MIN(H$41:H$43)</f>
        <v>42100</v>
      </c>
      <c r="J42" s="1" t="n">
        <f aca="false" t="array" ref="J42:J42">_xlfn.XLOOKUP(1, ($Q$3:$Q$44=B42) * ($R$3:$R$44=A42), $S$3:$S$44)</f>
        <v>31000</v>
      </c>
      <c r="K4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0.358064516129032</v>
      </c>
      <c r="Q42" s="1" t="n">
        <v>7</v>
      </c>
      <c r="R42" s="1" t="n">
        <v>30</v>
      </c>
      <c r="S42" s="1" t="n">
        <v>75000</v>
      </c>
      <c r="T42" s="5"/>
      <c r="U42" s="5"/>
      <c r="V42" s="5"/>
    </row>
    <row r="43" customFormat="false" ht="15" hidden="false" customHeight="false" outlineLevel="0" collapsed="false">
      <c r="A43" s="1" t="n">
        <v>10</v>
      </c>
      <c r="B43" s="1" t="n">
        <v>3</v>
      </c>
      <c r="C43" s="1" t="s">
        <v>15</v>
      </c>
      <c r="D43" s="1" t="n">
        <v>0.6604</v>
      </c>
      <c r="E43" s="1" t="n">
        <v>0.28286</v>
      </c>
      <c r="F43" s="1" t="n">
        <v>282.87</v>
      </c>
      <c r="G43" s="1" t="n">
        <v>123980</v>
      </c>
      <c r="H43" s="1" t="n">
        <v>42100</v>
      </c>
      <c r="I43" s="1" t="n">
        <f aca="false">MIN(H$41:H$43)</f>
        <v>42100</v>
      </c>
      <c r="J43" s="1" t="n">
        <f aca="false" t="array" ref="J43:J43">_xlfn.XLOOKUP(1, ($Q$3:$Q$44=B43) * ($R$3:$R$44=A43), $S$3:$S$44)</f>
        <v>31000</v>
      </c>
      <c r="K4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0.358064516129032</v>
      </c>
      <c r="Q43" s="1" t="n">
        <v>7</v>
      </c>
      <c r="R43" s="1" t="n">
        <v>50</v>
      </c>
      <c r="S43" s="1" t="n">
        <v>100000</v>
      </c>
      <c r="T43" s="5"/>
      <c r="U43" s="5"/>
      <c r="V43" s="5"/>
    </row>
    <row r="44" customFormat="false" ht="15" hidden="false" customHeight="false" outlineLevel="0" collapsed="false">
      <c r="A44" s="1" t="n">
        <v>20</v>
      </c>
      <c r="B44" s="1" t="n">
        <v>3</v>
      </c>
      <c r="C44" s="1" t="s">
        <v>12</v>
      </c>
      <c r="D44" s="1" t="n">
        <v>0.4157</v>
      </c>
      <c r="E44" s="1" t="n">
        <v>0.08114</v>
      </c>
      <c r="F44" s="1" t="n">
        <v>81.14</v>
      </c>
      <c r="G44" s="1" t="n">
        <v>263981</v>
      </c>
      <c r="H44" s="1" t="n">
        <v>154232</v>
      </c>
      <c r="I44" s="1" t="n">
        <f aca="false">MIN(H$44:H$46)</f>
        <v>154232</v>
      </c>
      <c r="J44" s="1" t="n">
        <f aca="false" t="array" ref="J44:J44">_xlfn.XLOOKUP(1, ($Q$3:$Q$44=B44) * ($R$3:$R$44=A44), $S$3:$S$44)</f>
        <v>102000</v>
      </c>
      <c r="K4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0.512078431372549</v>
      </c>
      <c r="Q44" s="1" t="n">
        <v>7</v>
      </c>
      <c r="R44" s="1" t="n">
        <v>100</v>
      </c>
      <c r="S44" s="1" t="n">
        <v>150000</v>
      </c>
    </row>
    <row r="45" customFormat="false" ht="15" hidden="false" customHeight="false" outlineLevel="0" collapsed="false">
      <c r="A45" s="1" t="n">
        <v>20</v>
      </c>
      <c r="B45" s="1" t="n">
        <v>3</v>
      </c>
      <c r="C45" s="1" t="s">
        <v>14</v>
      </c>
      <c r="D45" s="1" t="n">
        <v>0.4157</v>
      </c>
      <c r="E45" s="1" t="n">
        <v>0.04449</v>
      </c>
      <c r="F45" s="1" t="n">
        <v>44.49</v>
      </c>
      <c r="G45" s="1" t="n">
        <v>263981</v>
      </c>
      <c r="H45" s="1" t="n">
        <v>154232</v>
      </c>
      <c r="I45" s="1" t="n">
        <f aca="false">MIN(H$44:H$46)</f>
        <v>154232</v>
      </c>
      <c r="J45" s="1" t="n">
        <f aca="false" t="array" ref="J45:J45">_xlfn.XLOOKUP(1, ($Q$3:$Q$44=B45) * ($R$3:$R$44=A45), $S$3:$S$44)</f>
        <v>102000</v>
      </c>
      <c r="K4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0.512078431372549</v>
      </c>
    </row>
    <row r="46" customFormat="false" ht="15" hidden="false" customHeight="false" outlineLevel="0" collapsed="false">
      <c r="A46" s="1" t="n">
        <v>20</v>
      </c>
      <c r="B46" s="1" t="n">
        <v>3</v>
      </c>
      <c r="C46" s="1" t="s">
        <v>15</v>
      </c>
      <c r="D46" s="1" t="n">
        <v>0.4157</v>
      </c>
      <c r="E46" s="1" t="n">
        <v>0.13183</v>
      </c>
      <c r="F46" s="1" t="n">
        <v>131.83</v>
      </c>
      <c r="G46" s="1" t="n">
        <v>263981</v>
      </c>
      <c r="H46" s="1" t="n">
        <v>154232</v>
      </c>
      <c r="I46" s="1" t="n">
        <f aca="false">MIN(H$44:H$46)</f>
        <v>154232</v>
      </c>
      <c r="J46" s="1" t="n">
        <f aca="false" t="array" ref="J46:J46">_xlfn.XLOOKUP(1, ($Q$3:$Q$44=B46) * ($R$3:$R$44=A46), $S$3:$S$44)</f>
        <v>102000</v>
      </c>
      <c r="K4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0.512078431372549</v>
      </c>
    </row>
    <row r="47" customFormat="false" ht="15" hidden="false" customHeight="false" outlineLevel="0" collapsed="false">
      <c r="A47" s="1" t="n">
        <v>30</v>
      </c>
      <c r="B47" s="1" t="n">
        <v>3</v>
      </c>
      <c r="C47" s="1" t="s">
        <v>12</v>
      </c>
      <c r="D47" s="1" t="n">
        <v>0.3919</v>
      </c>
      <c r="E47" s="1" t="n">
        <v>0.15696</v>
      </c>
      <c r="F47" s="1" t="n">
        <v>156.96</v>
      </c>
      <c r="G47" s="1" t="n">
        <v>539917</v>
      </c>
      <c r="H47" s="1" t="n">
        <v>328308</v>
      </c>
      <c r="I47" s="1" t="n">
        <f aca="false">MIN(H$47:H$49)</f>
        <v>328308</v>
      </c>
      <c r="J47" s="1" t="n">
        <f aca="false" t="array" ref="J47:J47">_xlfn.XLOOKUP(1, ($Q$3:$Q$44=B47) * ($R$3:$R$44=A47), $S$3:$S$44)</f>
        <v>216000</v>
      </c>
      <c r="K4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0.519944444444444</v>
      </c>
    </row>
    <row r="48" customFormat="false" ht="15" hidden="false" customHeight="false" outlineLevel="0" collapsed="false">
      <c r="A48" s="1" t="n">
        <v>30</v>
      </c>
      <c r="B48" s="1" t="n">
        <v>3</v>
      </c>
      <c r="C48" s="1" t="s">
        <v>14</v>
      </c>
      <c r="D48" s="1" t="n">
        <v>0.3919</v>
      </c>
      <c r="E48" s="1" t="n">
        <v>0.10729</v>
      </c>
      <c r="F48" s="1" t="n">
        <v>107.29</v>
      </c>
      <c r="G48" s="1" t="n">
        <v>539917</v>
      </c>
      <c r="H48" s="1" t="n">
        <v>328308</v>
      </c>
      <c r="I48" s="1" t="n">
        <f aca="false">MIN(H$47:H$49)</f>
        <v>328308</v>
      </c>
      <c r="J48" s="1" t="n">
        <f aca="false" t="array" ref="J48:J48">_xlfn.XLOOKUP(1, ($Q$3:$Q$44=B48) * ($R$3:$R$44=A48), $S$3:$S$44)</f>
        <v>216000</v>
      </c>
      <c r="K4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0.519944444444444</v>
      </c>
    </row>
    <row r="49" customFormat="false" ht="15" hidden="false" customHeight="false" outlineLevel="0" collapsed="false">
      <c r="A49" s="1" t="n">
        <v>30</v>
      </c>
      <c r="B49" s="1" t="n">
        <v>3</v>
      </c>
      <c r="C49" s="1" t="s">
        <v>15</v>
      </c>
      <c r="D49" s="1" t="n">
        <v>0.3919</v>
      </c>
      <c r="E49" s="1" t="n">
        <v>16.94663</v>
      </c>
      <c r="F49" s="1" t="n">
        <v>16946.63</v>
      </c>
      <c r="G49" s="1" t="n">
        <v>539917</v>
      </c>
      <c r="H49" s="1" t="n">
        <v>328308</v>
      </c>
      <c r="I49" s="1" t="n">
        <f aca="false">MIN(H$47:H$49)</f>
        <v>328308</v>
      </c>
      <c r="J49" s="1" t="n">
        <f aca="false" t="array" ref="J49:J49">_xlfn.XLOOKUP(1, ($Q$3:$Q$44=B49) * ($R$3:$R$44=A49), $S$3:$S$44)</f>
        <v>216000</v>
      </c>
      <c r="K4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4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0.519944444444444</v>
      </c>
    </row>
    <row r="50" customFormat="false" ht="15" hidden="false" customHeight="false" outlineLevel="0" collapsed="false">
      <c r="A50" s="1" t="n">
        <v>50</v>
      </c>
      <c r="B50" s="1" t="n">
        <v>3</v>
      </c>
      <c r="C50" s="1" t="s">
        <v>12</v>
      </c>
      <c r="D50" s="1" t="n">
        <v>0.3408</v>
      </c>
      <c r="E50" s="1" t="n">
        <v>0.08238</v>
      </c>
      <c r="F50" s="1" t="n">
        <v>82.38</v>
      </c>
      <c r="G50" s="1" t="n">
        <v>1561974</v>
      </c>
      <c r="H50" s="1" t="n">
        <v>1029678</v>
      </c>
      <c r="I50" s="1" t="n">
        <f aca="false">MIN(H$50:H$52)</f>
        <v>1029678</v>
      </c>
      <c r="J50" s="1" t="n">
        <f aca="false" t="array" ref="J50:J50">_xlfn.XLOOKUP(1, ($Q$3:$Q$44=B50) * ($R$3:$R$44=A50), $S$3:$S$44)</f>
        <v>619000</v>
      </c>
      <c r="K5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0.663453957996769</v>
      </c>
    </row>
    <row r="51" customFormat="false" ht="15" hidden="false" customHeight="false" outlineLevel="0" collapsed="false">
      <c r="A51" s="1" t="n">
        <v>50</v>
      </c>
      <c r="B51" s="1" t="n">
        <v>3</v>
      </c>
      <c r="C51" s="1" t="s">
        <v>14</v>
      </c>
      <c r="D51" s="1" t="n">
        <v>0.3408</v>
      </c>
      <c r="E51" s="1" t="n">
        <v>0.05873</v>
      </c>
      <c r="F51" s="1" t="n">
        <v>58.73</v>
      </c>
      <c r="G51" s="1" t="n">
        <v>1561974</v>
      </c>
      <c r="H51" s="1" t="n">
        <v>1029678</v>
      </c>
      <c r="I51" s="1" t="n">
        <f aca="false">MIN(H$50:H$52)</f>
        <v>1029678</v>
      </c>
      <c r="J51" s="1" t="n">
        <f aca="false" t="array" ref="J51:J51">_xlfn.XLOOKUP(1, ($Q$3:$Q$44=B51) * ($R$3:$R$44=A51), $S$3:$S$44)</f>
        <v>619000</v>
      </c>
      <c r="K5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0.663453957996769</v>
      </c>
      <c r="O51" s="0" t="s">
        <v>17</v>
      </c>
    </row>
    <row r="52" customFormat="false" ht="15" hidden="false" customHeight="false" outlineLevel="0" collapsed="false">
      <c r="A52" s="1" t="n">
        <v>50</v>
      </c>
      <c r="B52" s="1" t="n">
        <v>3</v>
      </c>
      <c r="C52" s="1" t="s">
        <v>15</v>
      </c>
      <c r="D52" s="1" t="n">
        <v>0.3408</v>
      </c>
      <c r="E52" s="1" t="n">
        <v>15645.35589</v>
      </c>
      <c r="F52" s="1" t="n">
        <v>15645355.89</v>
      </c>
      <c r="G52" s="1" t="n">
        <v>1561974</v>
      </c>
      <c r="H52" s="1" t="n">
        <v>1029678</v>
      </c>
      <c r="I52" s="1" t="n">
        <f aca="false">MIN(H$50:H$52)</f>
        <v>1029678</v>
      </c>
      <c r="J52" s="1" t="n">
        <f aca="false" t="array" ref="J52:J52">_xlfn.XLOOKUP(1, ($Q$3:$Q$44=B52) * ($R$3:$R$44=A52), $S$3:$S$44)</f>
        <v>619000</v>
      </c>
      <c r="K52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52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  <c r="O52" s="9" t="s">
        <v>18</v>
      </c>
      <c r="P52" s="9" t="s">
        <v>12</v>
      </c>
      <c r="Q52" s="9" t="s">
        <v>19</v>
      </c>
      <c r="R52" s="9" t="s">
        <v>15</v>
      </c>
    </row>
    <row r="53" customFormat="false" ht="15" hidden="false" customHeight="false" outlineLevel="0" collapsed="false">
      <c r="A53" s="1" t="n">
        <v>100</v>
      </c>
      <c r="B53" s="1" t="n">
        <v>3</v>
      </c>
      <c r="C53" s="1" t="s">
        <v>12</v>
      </c>
      <c r="D53" s="1" t="n">
        <v>0.3907</v>
      </c>
      <c r="E53" s="1" t="n">
        <v>0.26708</v>
      </c>
      <c r="F53" s="1" t="n">
        <v>267.08</v>
      </c>
      <c r="G53" s="1" t="n">
        <v>5271981</v>
      </c>
      <c r="H53" s="1" t="n">
        <v>3212058.5</v>
      </c>
      <c r="I53" s="1" t="n">
        <f aca="false">MIN(H$53:H$55)</f>
        <v>3212058.5</v>
      </c>
      <c r="J53" s="1" t="n">
        <f aca="false" t="array" ref="J53:J53">_xlfn.XLOOKUP(1, ($Q$3:$Q$44=B53) * ($R$3:$R$44=A53), $S$3:$S$44)</f>
        <v>2012000</v>
      </c>
      <c r="K5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0.596450546719682</v>
      </c>
      <c r="O53" s="0" t="n">
        <v>5</v>
      </c>
      <c r="P53" s="2" t="n">
        <f aca="false">AVERAGEIFS($L$2:$L$1000, $A$2:$A$1000, $O53, $C$2:$C$1000, P$52)</f>
        <v>0.800845666401777</v>
      </c>
      <c r="Q53" s="2" t="n">
        <f aca="false">AVERAGEIFS($L$2:$L$1000, $A$2:$A$1000, $O53, $C$2:$C$1000, Q$52)</f>
        <v>0.800845666401777</v>
      </c>
      <c r="R53" s="2" t="n">
        <f aca="false">AVERAGEIFS($L$2:$L$1000, $A$2:$A$1000, $O53, $C$2:$C$1000, R$52)</f>
        <v>0.787086084520244</v>
      </c>
    </row>
    <row r="54" customFormat="false" ht="15" hidden="false" customHeight="false" outlineLevel="0" collapsed="false">
      <c r="A54" s="1" t="n">
        <v>100</v>
      </c>
      <c r="B54" s="1" t="n">
        <v>3</v>
      </c>
      <c r="C54" s="1" t="s">
        <v>14</v>
      </c>
      <c r="D54" s="1" t="n">
        <v>0.3907</v>
      </c>
      <c r="E54" s="1" t="n">
        <v>0.20163</v>
      </c>
      <c r="F54" s="1" t="n">
        <v>201.63</v>
      </c>
      <c r="G54" s="1" t="n">
        <v>5271981</v>
      </c>
      <c r="H54" s="1" t="n">
        <v>3212058.5</v>
      </c>
      <c r="I54" s="1" t="n">
        <f aca="false">MIN(H$53:H$55)</f>
        <v>3212058.5</v>
      </c>
      <c r="J54" s="1" t="n">
        <f aca="false" t="array" ref="J54:J54">_xlfn.XLOOKUP(1, ($Q$3:$Q$44=B54) * ($R$3:$R$44=A54), $S$3:$S$44)</f>
        <v>2012000</v>
      </c>
      <c r="K5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0.596450546719682</v>
      </c>
      <c r="O54" s="0" t="n">
        <v>10</v>
      </c>
      <c r="P54" s="2" t="n">
        <f aca="false">AVERAGEIFS($L$2:$L$1000, $A$2:$A$1000, $O54, $C$2:$C$1000, P$52)</f>
        <v>1.25338238444846</v>
      </c>
      <c r="Q54" s="2" t="n">
        <f aca="false">AVERAGEIFS($L$2:$L$1000, $A$2:$A$1000, $O54, $C$2:$C$1000, Q$52)</f>
        <v>1.36759462934642</v>
      </c>
      <c r="R54" s="2" t="n">
        <f aca="false">AVERAGEIFS($L$2:$L$1000, $A$2:$A$1000, $O54, $C$2:$C$1000, R$52)</f>
        <v>0.682145204961279</v>
      </c>
    </row>
    <row r="55" customFormat="false" ht="15" hidden="false" customHeight="false" outlineLevel="0" collapsed="false">
      <c r="A55" s="1" t="n">
        <v>100</v>
      </c>
      <c r="B55" s="1" t="n">
        <v>3</v>
      </c>
      <c r="C55" s="1" t="s">
        <v>15</v>
      </c>
      <c r="D55" s="1" t="n">
        <v>0</v>
      </c>
      <c r="E55" s="1" t="n">
        <v>0</v>
      </c>
      <c r="F55" s="1" t="n">
        <v>0</v>
      </c>
      <c r="G55" s="1" t="n">
        <v>5271981</v>
      </c>
      <c r="H55" s="1" t="n">
        <v>5271981</v>
      </c>
      <c r="I55" s="1" t="n">
        <f aca="false">MIN(H$53:H$55)</f>
        <v>3212058.5</v>
      </c>
      <c r="J55" s="1" t="n">
        <f aca="false" t="array" ref="J55:J55">_xlfn.XLOOKUP(1, ($Q$3:$Q$44=B55) * ($R$3:$R$44=A55), $S$3:$S$44)</f>
        <v>2012000</v>
      </c>
      <c r="K55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55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  <c r="O55" s="0" t="n">
        <v>20</v>
      </c>
      <c r="P55" s="2" t="n">
        <f aca="false">AVERAGEIFS($L$2:$L$1000, $A$2:$A$1000, $O55, $C$2:$C$1000, P$52)</f>
        <v>0.830889360859232</v>
      </c>
      <c r="Q55" s="2" t="n">
        <f aca="false">AVERAGEIFS($L$2:$L$1000, $A$2:$A$1000, $O55, $C$2:$C$1000, Q$52)</f>
        <v>0.887041224213269</v>
      </c>
      <c r="R55" s="2" t="n">
        <f aca="false">AVERAGEIFS($L$2:$L$1000, $A$2:$A$1000, $O55, $C$2:$C$1000, R$52)</f>
        <v>0.709242646573517</v>
      </c>
    </row>
    <row r="56" customFormat="false" ht="15" hidden="false" customHeight="false" outlineLevel="0" collapsed="false">
      <c r="A56" s="1" t="n">
        <v>5</v>
      </c>
      <c r="B56" s="1" t="n">
        <v>4</v>
      </c>
      <c r="C56" s="1" t="s">
        <v>12</v>
      </c>
      <c r="D56" s="1" t="n">
        <v>0.7771</v>
      </c>
      <c r="E56" s="1" t="n">
        <v>0.2253</v>
      </c>
      <c r="F56" s="1" t="n">
        <v>225.3</v>
      </c>
      <c r="G56" s="1" t="n">
        <v>71981</v>
      </c>
      <c r="H56" s="1" t="n">
        <v>16045</v>
      </c>
      <c r="I56" s="1" t="n">
        <f aca="false">MIN(H$56:H$58)</f>
        <v>16045</v>
      </c>
      <c r="J56" s="1" t="n">
        <f aca="false" t="array" ref="J56:J56">_xlfn.XLOOKUP(1, ($Q$3:$Q$44=B56) * ($R$3:$R$44=A56), $S$3:$S$44)</f>
        <v>9000</v>
      </c>
      <c r="K5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0.782777777777778</v>
      </c>
      <c r="O56" s="0" t="n">
        <v>30</v>
      </c>
      <c r="P56" s="2" t="n">
        <f aca="false">AVERAGEIFS($L$2:$L$1000, $A$2:$A$1000, $O56, $C$2:$C$1000, P$52)</f>
        <v>0.852738925306014</v>
      </c>
      <c r="Q56" s="2" t="n">
        <f aca="false">AVERAGEIFS($L$2:$L$1000, $A$2:$A$1000, $O56, $C$2:$C$1000, Q$52)</f>
        <v>0.852932802857035</v>
      </c>
      <c r="R56" s="2" t="n">
        <f aca="false">AVERAGEIFS($L$2:$L$1000, $A$2:$A$1000, $O56, $C$2:$C$1000, R$52)</f>
        <v>0.771810353877443</v>
      </c>
    </row>
    <row r="57" customFormat="false" ht="15" hidden="false" customHeight="false" outlineLevel="0" collapsed="false">
      <c r="A57" s="1" t="n">
        <v>5</v>
      </c>
      <c r="B57" s="1" t="n">
        <v>4</v>
      </c>
      <c r="C57" s="1" t="s">
        <v>14</v>
      </c>
      <c r="D57" s="1" t="n">
        <v>0.7771</v>
      </c>
      <c r="E57" s="1" t="n">
        <v>0.18783</v>
      </c>
      <c r="F57" s="1" t="n">
        <v>187.83</v>
      </c>
      <c r="G57" s="1" t="n">
        <v>71981</v>
      </c>
      <c r="H57" s="1" t="n">
        <v>16045</v>
      </c>
      <c r="I57" s="1" t="n">
        <f aca="false">MIN(H$56:H$58)</f>
        <v>16045</v>
      </c>
      <c r="J57" s="1" t="n">
        <f aca="false" t="array" ref="J57:J57">_xlfn.XLOOKUP(1, ($Q$3:$Q$44=B57) * ($R$3:$R$44=A57), $S$3:$S$44)</f>
        <v>9000</v>
      </c>
      <c r="K5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0.782777777777778</v>
      </c>
      <c r="O57" s="0" t="n">
        <v>50</v>
      </c>
      <c r="P57" s="2" t="n">
        <f aca="false">AVERAGEIFS($L$2:$L$1000, $A$2:$A$1000, $O57, $C$2:$C$1000, P$52)</f>
        <v>0.641788943143738</v>
      </c>
      <c r="Q57" s="2" t="n">
        <f aca="false">AVERAGEIFS($L$2:$L$1000, $A$2:$A$1000, $O57, $C$2:$C$1000, Q$52)</f>
        <v>0.805280589316403</v>
      </c>
      <c r="R57" s="2"/>
    </row>
    <row r="58" customFormat="false" ht="15" hidden="false" customHeight="false" outlineLevel="0" collapsed="false">
      <c r="A58" s="1" t="n">
        <v>5</v>
      </c>
      <c r="B58" s="1" t="n">
        <v>4</v>
      </c>
      <c r="C58" s="1" t="s">
        <v>15</v>
      </c>
      <c r="D58" s="1" t="n">
        <v>0.7771</v>
      </c>
      <c r="E58" s="1" t="n">
        <v>0.18314</v>
      </c>
      <c r="F58" s="1" t="n">
        <v>183.14</v>
      </c>
      <c r="G58" s="1" t="n">
        <v>71981</v>
      </c>
      <c r="H58" s="1" t="n">
        <v>16045</v>
      </c>
      <c r="I58" s="1" t="n">
        <f aca="false">MIN(H$56:H$58)</f>
        <v>16045</v>
      </c>
      <c r="J58" s="1" t="n">
        <f aca="false" t="array" ref="J58:J58">_xlfn.XLOOKUP(1, ($Q$3:$Q$44=B58) * ($R$3:$R$44=A58), $S$3:$S$44)</f>
        <v>9000</v>
      </c>
      <c r="K5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0.782777777777778</v>
      </c>
      <c r="O58" s="0" t="n">
        <v>100</v>
      </c>
      <c r="P58" s="2" t="n">
        <f aca="false">AVERAGEIFS($L$2:$L$1000, $A$2:$A$1000, $O58, $C$2:$C$1000, P$52)</f>
        <v>0.702382674745685</v>
      </c>
      <c r="Q58" s="2" t="n">
        <f aca="false">AVERAGEIFS($L$2:$L$1000, $A$2:$A$1000, $O58, $C$2:$C$1000, Q$52)</f>
        <v>0.784143374463932</v>
      </c>
      <c r="R58" s="2"/>
    </row>
    <row r="59" customFormat="false" ht="15" hidden="false" customHeight="false" outlineLevel="0" collapsed="false">
      <c r="A59" s="1" t="n">
        <v>10</v>
      </c>
      <c r="B59" s="1" t="n">
        <v>4</v>
      </c>
      <c r="C59" s="1" t="s">
        <v>12</v>
      </c>
      <c r="D59" s="1" t="n">
        <v>0.5855</v>
      </c>
      <c r="E59" s="1" t="n">
        <v>0.2233</v>
      </c>
      <c r="F59" s="1" t="n">
        <v>223.3</v>
      </c>
      <c r="G59" s="1" t="n">
        <v>72562</v>
      </c>
      <c r="H59" s="1" t="n">
        <v>30078.5</v>
      </c>
      <c r="I59" s="1" t="n">
        <f aca="false">MIN(H$59:H$61)</f>
        <v>30078.5</v>
      </c>
      <c r="J59" s="1" t="n">
        <f aca="false" t="array" ref="J59:J59">_xlfn.XLOOKUP(1, ($Q$3:$Q$44=B59) * ($R$3:$R$44=A59), $S$3:$S$44)</f>
        <v>17500</v>
      </c>
      <c r="K5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5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0.718771428571429</v>
      </c>
    </row>
    <row r="60" customFormat="false" ht="15" hidden="false" customHeight="false" outlineLevel="0" collapsed="false">
      <c r="A60" s="1" t="n">
        <v>10</v>
      </c>
      <c r="B60" s="1" t="n">
        <v>4</v>
      </c>
      <c r="C60" s="1" t="s">
        <v>14</v>
      </c>
      <c r="D60" s="1" t="n">
        <v>0.3927</v>
      </c>
      <c r="E60" s="1" t="n">
        <v>0.20211</v>
      </c>
      <c r="F60" s="1" t="n">
        <v>202.11</v>
      </c>
      <c r="G60" s="1" t="n">
        <v>72562</v>
      </c>
      <c r="H60" s="1" t="n">
        <v>44069.5</v>
      </c>
      <c r="I60" s="1" t="n">
        <f aca="false">MIN(H$59:H$61)</f>
        <v>30078.5</v>
      </c>
      <c r="J60" s="1" t="n">
        <f aca="false" t="array" ref="J60:J60">_xlfn.XLOOKUP(1, ($Q$3:$Q$44=B60) * ($R$3:$R$44=A60), $S$3:$S$44)</f>
        <v>17500</v>
      </c>
      <c r="K6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0.465149525408514</v>
      </c>
      <c r="L6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1.51825714285714</v>
      </c>
    </row>
    <row r="61" customFormat="false" ht="15" hidden="false" customHeight="false" outlineLevel="0" collapsed="false">
      <c r="A61" s="1" t="n">
        <v>10</v>
      </c>
      <c r="B61" s="1" t="n">
        <v>4</v>
      </c>
      <c r="C61" s="1" t="s">
        <v>15</v>
      </c>
      <c r="D61" s="1" t="n">
        <v>0.5855</v>
      </c>
      <c r="E61" s="1" t="n">
        <v>0.19517</v>
      </c>
      <c r="F61" s="1" t="n">
        <v>195.17</v>
      </c>
      <c r="G61" s="1" t="n">
        <v>72562</v>
      </c>
      <c r="H61" s="1" t="n">
        <v>30078.5</v>
      </c>
      <c r="I61" s="1" t="n">
        <f aca="false">MIN(H$59:H$61)</f>
        <v>30078.5</v>
      </c>
      <c r="J61" s="1" t="n">
        <f aca="false" t="array" ref="J61:J61">_xlfn.XLOOKUP(1, ($Q$3:$Q$44=B61) * ($R$3:$R$44=A61), $S$3:$S$44)</f>
        <v>17500</v>
      </c>
      <c r="K6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0.718771428571429</v>
      </c>
    </row>
    <row r="62" customFormat="false" ht="15" hidden="false" customHeight="false" outlineLevel="0" collapsed="false">
      <c r="A62" s="1" t="n">
        <v>20</v>
      </c>
      <c r="B62" s="1" t="n">
        <v>4</v>
      </c>
      <c r="C62" s="1" t="s">
        <v>12</v>
      </c>
      <c r="D62" s="1" t="n">
        <v>0.516</v>
      </c>
      <c r="E62" s="1" t="n">
        <v>0.20569</v>
      </c>
      <c r="F62" s="1" t="n">
        <v>205.69</v>
      </c>
      <c r="G62" s="1" t="n">
        <v>174912</v>
      </c>
      <c r="H62" s="1" t="n">
        <v>84656.5</v>
      </c>
      <c r="I62" s="1" t="n">
        <f aca="false">MIN(H$62:H$64)</f>
        <v>84656.5</v>
      </c>
      <c r="J62" s="1" t="n">
        <f aca="false" t="array" ref="J62:J62">_xlfn.XLOOKUP(1, ($Q$3:$Q$44=B62) * ($R$3:$R$44=A62), $S$3:$S$44)</f>
        <v>46000</v>
      </c>
      <c r="K6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0.840358695652174</v>
      </c>
      <c r="O62" s="0" t="s">
        <v>20</v>
      </c>
    </row>
    <row r="63" customFormat="false" ht="15" hidden="false" customHeight="false" outlineLevel="0" collapsed="false">
      <c r="A63" s="1" t="n">
        <v>20</v>
      </c>
      <c r="B63" s="1" t="n">
        <v>4</v>
      </c>
      <c r="C63" s="1" t="s">
        <v>14</v>
      </c>
      <c r="D63" s="1" t="n">
        <v>0.4131</v>
      </c>
      <c r="E63" s="1" t="n">
        <v>0.14669</v>
      </c>
      <c r="F63" s="1" t="n">
        <v>146.69</v>
      </c>
      <c r="G63" s="1" t="n">
        <v>174912</v>
      </c>
      <c r="H63" s="1" t="n">
        <v>102650</v>
      </c>
      <c r="I63" s="1" t="n">
        <f aca="false">MIN(H$62:H$64)</f>
        <v>84656.5</v>
      </c>
      <c r="J63" s="1" t="n">
        <f aca="false" t="array" ref="J63:J63">_xlfn.XLOOKUP(1, ($Q$3:$Q$44=B63) * ($R$3:$R$44=A63), $S$3:$S$44)</f>
        <v>46000</v>
      </c>
      <c r="K6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0.212547175940418</v>
      </c>
      <c r="L6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1.23152173913043</v>
      </c>
      <c r="O63" s="9" t="s">
        <v>1</v>
      </c>
      <c r="P63" s="10" t="s">
        <v>12</v>
      </c>
      <c r="Q63" s="10" t="s">
        <v>19</v>
      </c>
      <c r="R63" s="11" t="s">
        <v>15</v>
      </c>
      <c r="T63" s="9" t="s">
        <v>1</v>
      </c>
      <c r="U63" s="10" t="s">
        <v>12</v>
      </c>
      <c r="V63" s="10" t="s">
        <v>19</v>
      </c>
      <c r="W63" s="11" t="s">
        <v>15</v>
      </c>
    </row>
    <row r="64" customFormat="false" ht="15" hidden="false" customHeight="false" outlineLevel="0" collapsed="false">
      <c r="A64" s="1" t="n">
        <v>20</v>
      </c>
      <c r="B64" s="1" t="n">
        <v>4</v>
      </c>
      <c r="C64" s="1" t="s">
        <v>15</v>
      </c>
      <c r="D64" s="1" t="n">
        <v>0.516</v>
      </c>
      <c r="E64" s="1" t="n">
        <v>1.75942</v>
      </c>
      <c r="F64" s="1" t="n">
        <v>1759.42</v>
      </c>
      <c r="G64" s="1" t="n">
        <v>174912</v>
      </c>
      <c r="H64" s="1" t="n">
        <v>84656.5</v>
      </c>
      <c r="I64" s="1" t="n">
        <f aca="false">MIN(H$62:H$64)</f>
        <v>84656.5</v>
      </c>
      <c r="J64" s="1" t="n">
        <f aca="false" t="array" ref="J64:J64">_xlfn.XLOOKUP(1, ($Q$3:$Q$44=B64) * ($R$3:$R$44=A64), $S$3:$S$44)</f>
        <v>46000</v>
      </c>
      <c r="K6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0.840358695652174</v>
      </c>
      <c r="O64" s="0" t="n">
        <v>1</v>
      </c>
      <c r="P64" s="2" t="n">
        <f aca="false">AVERAGEIFS($L$2:$L$1000, $B$2:$B$1000, $O64, $C$2:$C$1000, P$63, $A$2:$A$1000, "&lt;50")</f>
        <v>1.00671961403509</v>
      </c>
      <c r="Q64" s="2" t="n">
        <f aca="false">AVERAGEIFS($L$2:$L$1000, $B$2:$B$1000, $O64, $C$2:$C$1000, Q$63, $A$2:$A$1000, "&lt;50")</f>
        <v>1.00671961403509</v>
      </c>
      <c r="R64" s="2" t="n">
        <f aca="false">AVERAGEIFS($L$2:$L$1000, $B$2:$B$1000, $O64, $C$2:$C$1000, R$63, $A$2:$A$1000, "&lt;50")</f>
        <v>1.00671961403509</v>
      </c>
      <c r="T64" s="0" t="n">
        <v>1</v>
      </c>
      <c r="U64" s="2" t="n">
        <f aca="false">AVERAGEIFS($L$2:$L$1000, $B$2:$B$1000, $O64, $C$2:$C$1000, U$63, $A$2:$A$1000, "&gt;=50")</f>
        <v>1.00935528213166</v>
      </c>
      <c r="V64" s="2" t="n">
        <f aca="false">AVERAGEIFS($L$2:$L$1000, $B$2:$B$1000, $O64, $C$2:$C$1000, V$63, $A$2:$A$1000, "&gt;=50")</f>
        <v>1.00935528213166</v>
      </c>
      <c r="W64" s="2" t="s">
        <v>21</v>
      </c>
    </row>
    <row r="65" customFormat="false" ht="15" hidden="false" customHeight="false" outlineLevel="0" collapsed="false">
      <c r="A65" s="1" t="n">
        <v>30</v>
      </c>
      <c r="B65" s="1" t="n">
        <v>4</v>
      </c>
      <c r="C65" s="1" t="s">
        <v>12</v>
      </c>
      <c r="D65" s="1" t="n">
        <v>0.0026</v>
      </c>
      <c r="E65" s="1" t="n">
        <v>0.35977</v>
      </c>
      <c r="F65" s="1" t="n">
        <v>359.77</v>
      </c>
      <c r="G65" s="1" t="n">
        <v>97346</v>
      </c>
      <c r="H65" s="1" t="n">
        <v>97093</v>
      </c>
      <c r="I65" s="1" t="n">
        <f aca="false">MIN(H$65:H$67)</f>
        <v>97093</v>
      </c>
      <c r="J65" s="1" t="n">
        <f aca="false" t="array" ref="J65:J65">_xlfn.XLOOKUP(1, ($Q$3:$Q$44=B65) * ($R$3:$R$44=A65), $S$3:$S$44)</f>
        <v>41300</v>
      </c>
      <c r="K6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1.3509200968523</v>
      </c>
      <c r="O65" s="0" t="n">
        <v>2</v>
      </c>
      <c r="P65" s="2" t="n">
        <f aca="false">AVERAGEIFS($L$2:$L$1000, $B$2:$B$1000, $O65, $C$2:$C$1000, P$63, $A$2:$A$1000, "&lt;50")</f>
        <v>1.74140619047619</v>
      </c>
      <c r="Q65" s="2" t="n">
        <f aca="false">AVERAGEIFS($L$2:$L$1000, $B$2:$B$1000, $O65, $C$2:$C$1000, Q$63, $A$2:$A$1000, "&lt;50")</f>
        <v>1.74182047619048</v>
      </c>
      <c r="R65" s="2" t="n">
        <f aca="false">AVERAGEIFS($L$2:$L$1000, $B$2:$B$1000, $O65, $C$2:$C$1000, R$63, $A$2:$A$1000, "&lt;50")</f>
        <v>0.500424940476191</v>
      </c>
      <c r="T65" s="0" t="n">
        <v>2</v>
      </c>
      <c r="U65" s="2" t="n">
        <f aca="false">AVERAGEIFS($L$2:$L$1000, $B$2:$B$1000, $O65, $C$2:$C$1000, U$63, $A$2:$A$1000, "&gt;=50")</f>
        <v>0.56527</v>
      </c>
      <c r="V65" s="2" t="n">
        <f aca="false">AVERAGEIFS($L$2:$L$1000, $B$2:$B$1000, $O65, $C$2:$C$1000, V$63, $A$2:$A$1000, "&gt;=50")</f>
        <v>0.56912</v>
      </c>
      <c r="W65" s="2" t="s">
        <v>21</v>
      </c>
    </row>
    <row r="66" customFormat="false" ht="15" hidden="false" customHeight="false" outlineLevel="0" collapsed="false">
      <c r="A66" s="1" t="n">
        <v>30</v>
      </c>
      <c r="B66" s="1" t="n">
        <v>4</v>
      </c>
      <c r="C66" s="1" t="s">
        <v>14</v>
      </c>
      <c r="D66" s="1" t="n">
        <v>0.0026</v>
      </c>
      <c r="E66" s="1" t="n">
        <v>0.32522</v>
      </c>
      <c r="F66" s="1" t="n">
        <v>325.22</v>
      </c>
      <c r="G66" s="1" t="n">
        <v>97346</v>
      </c>
      <c r="H66" s="1" t="n">
        <v>97093</v>
      </c>
      <c r="I66" s="1" t="n">
        <f aca="false">MIN(H$65:H$67)</f>
        <v>97093</v>
      </c>
      <c r="J66" s="1" t="n">
        <f aca="false" t="array" ref="J66:J66">_xlfn.XLOOKUP(1, ($Q$3:$Q$44=B66) * ($R$3:$R$44=A66), $S$3:$S$44)</f>
        <v>41300</v>
      </c>
      <c r="K6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1.3509200968523</v>
      </c>
      <c r="O66" s="0" t="n">
        <v>3</v>
      </c>
      <c r="P66" s="2" t="n">
        <f aca="false">AVERAGEIFS($L$2:$L$1000, $B$2:$B$1000, $O66, $C$2:$C$1000, P$63, $A$2:$A$1000, "&lt;50")</f>
        <v>0.40296087237675</v>
      </c>
      <c r="Q66" s="2" t="n">
        <f aca="false">AVERAGEIFS($L$2:$L$1000, $B$2:$B$1000, $O66, $C$2:$C$1000, Q$63, $A$2:$A$1000, "&lt;50")</f>
        <v>0.40296087237675</v>
      </c>
      <c r="R66" s="2" t="n">
        <f aca="false">AVERAGEIFS($L$2:$L$1000, $B$2:$B$1000, $O66, $C$2:$C$1000, R$63, $A$2:$A$1000, "&lt;50")</f>
        <v>0.378881604084067</v>
      </c>
      <c r="T66" s="0" t="n">
        <v>3</v>
      </c>
      <c r="U66" s="2" t="n">
        <f aca="false">AVERAGEIFS($L$2:$L$1000, $B$2:$B$1000, $O66, $C$2:$C$1000, U$63, $A$2:$A$1000, "&gt;=50")</f>
        <v>0.629952252358226</v>
      </c>
      <c r="V66" s="2" t="n">
        <f aca="false">AVERAGEIFS($L$2:$L$1000, $B$2:$B$1000, $O66, $C$2:$C$1000, V$63, $A$2:$A$1000, "&gt;=50")</f>
        <v>0.629952252358226</v>
      </c>
      <c r="W66" s="2" t="s">
        <v>21</v>
      </c>
    </row>
    <row r="67" customFormat="false" ht="15" hidden="false" customHeight="false" outlineLevel="0" collapsed="false">
      <c r="A67" s="1" t="n">
        <v>30</v>
      </c>
      <c r="B67" s="1" t="n">
        <v>4</v>
      </c>
      <c r="C67" s="1" t="s">
        <v>15</v>
      </c>
      <c r="D67" s="1" t="n">
        <v>0.0026</v>
      </c>
      <c r="E67" s="1" t="n">
        <v>14640.28024</v>
      </c>
      <c r="F67" s="1" t="n">
        <v>14640280.24</v>
      </c>
      <c r="G67" s="1" t="n">
        <v>97346</v>
      </c>
      <c r="H67" s="1" t="n">
        <v>97093</v>
      </c>
      <c r="I67" s="1" t="n">
        <f aca="false">MIN(H$65:H$67)</f>
        <v>97093</v>
      </c>
      <c r="J67" s="1" t="n">
        <f aca="false" t="array" ref="J67:J67">_xlfn.XLOOKUP(1, ($Q$3:$Q$44=B67) * ($R$3:$R$44=A67), $S$3:$S$44)</f>
        <v>41300</v>
      </c>
      <c r="K6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1.3509200968523</v>
      </c>
      <c r="O67" s="0" t="n">
        <v>4</v>
      </c>
      <c r="P67" s="2" t="n">
        <f aca="false">AVERAGEIFS($L$2:$L$1000, $B$2:$B$1000, $O67, $C$2:$C$1000, P$63, $A$2:$A$1000, "&lt;50")</f>
        <v>0.92320699971342</v>
      </c>
      <c r="Q67" s="2" t="n">
        <f aca="false">AVERAGEIFS($L$2:$L$1000, $B$2:$B$1000, $O67, $C$2:$C$1000, Q$63, $A$2:$A$1000, "&lt;50")</f>
        <v>1.22086918915441</v>
      </c>
      <c r="R67" s="2" t="n">
        <f aca="false">AVERAGEIFS($L$2:$L$1000, $B$2:$B$1000, $O67, $C$2:$C$1000, R$63, $A$2:$A$1000, "&lt;50")</f>
        <v>0.92320699971342</v>
      </c>
      <c r="T67" s="0" t="n">
        <v>4</v>
      </c>
      <c r="U67" s="2" t="n">
        <f aca="false">AVERAGEIFS($L$2:$L$1000, $B$2:$B$1000, $O67, $C$2:$C$1000, U$63, $A$2:$A$1000, "&gt;=50")</f>
        <v>0.536158646056199</v>
      </c>
      <c r="V67" s="2" t="n">
        <f aca="false">AVERAGEIFS($L$2:$L$1000, $B$2:$B$1000, $O67, $C$2:$C$1000, V$63, $A$2:$A$1000, "&gt;=50")</f>
        <v>1.1765798283725</v>
      </c>
      <c r="W67" s="2" t="s">
        <v>21</v>
      </c>
    </row>
    <row r="68" customFormat="false" ht="15" hidden="false" customHeight="false" outlineLevel="0" collapsed="false">
      <c r="A68" s="1" t="n">
        <v>50</v>
      </c>
      <c r="B68" s="1" t="n">
        <v>4</v>
      </c>
      <c r="C68" s="1" t="s">
        <v>12</v>
      </c>
      <c r="D68" s="1" t="n">
        <v>0.6262</v>
      </c>
      <c r="E68" s="1" t="n">
        <v>0.40682</v>
      </c>
      <c r="F68" s="1" t="n">
        <v>406.82</v>
      </c>
      <c r="G68" s="1" t="n">
        <v>520542</v>
      </c>
      <c r="H68" s="1" t="n">
        <v>194574</v>
      </c>
      <c r="I68" s="1" t="n">
        <f aca="false">MIN(H$68:H$70)</f>
        <v>194574</v>
      </c>
      <c r="J68" s="1" t="n">
        <f aca="false" t="array" ref="J68:J68">_xlfn.XLOOKUP(1, ($Q$3:$Q$44=B68) * ($R$3:$R$44=A68), $S$3:$S$44)</f>
        <v>110950</v>
      </c>
      <c r="K6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6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0.753708877872916</v>
      </c>
      <c r="O68" s="0" t="n">
        <v>5</v>
      </c>
      <c r="P68" s="2" t="n">
        <f aca="false">AVERAGEIFS($L$2:$L$1000, $B$2:$B$1000, $O68, $C$2:$C$1000, P$63, $A$2:$A$1000, "&lt;50")</f>
        <v>0.57507891094476</v>
      </c>
      <c r="Q68" s="2" t="n">
        <f aca="false">AVERAGEIFS($L$2:$L$1000, $B$2:$B$1000, $O68, $C$2:$C$1000, Q$63, $A$2:$A$1000, "&lt;50")</f>
        <v>0.57547891094476</v>
      </c>
      <c r="R68" s="2" t="n">
        <f aca="false">AVERAGEIFS($L$2:$L$1000, $B$2:$B$1000, $O68, $C$2:$C$1000, R$63, $A$2:$A$1000, "&lt;50")</f>
        <v>0.461888346842196</v>
      </c>
      <c r="T68" s="0" t="n">
        <v>5</v>
      </c>
      <c r="U68" s="2" t="n">
        <f aca="false">AVERAGEIFS($L$2:$L$1000, $B$2:$B$1000, $O68, $C$2:$C$1000, U$63, $A$2:$A$1000, "&gt;=50")</f>
        <v>0.303958733686158</v>
      </c>
      <c r="V68" s="2" t="n">
        <f aca="false">AVERAGEIFS($L$2:$L$1000, $B$2:$B$1000, $O68, $C$2:$C$1000, V$63, $A$2:$A$1000, "&gt;=50")</f>
        <v>0.303958733686158</v>
      </c>
      <c r="W68" s="2" t="s">
        <v>21</v>
      </c>
    </row>
    <row r="69" customFormat="false" ht="15" hidden="false" customHeight="false" outlineLevel="0" collapsed="false">
      <c r="A69" s="1" t="n">
        <v>50</v>
      </c>
      <c r="B69" s="1" t="n">
        <v>4</v>
      </c>
      <c r="C69" s="1" t="s">
        <v>14</v>
      </c>
      <c r="D69" s="1" t="n">
        <v>0.3834</v>
      </c>
      <c r="E69" s="1" t="n">
        <v>0.20896</v>
      </c>
      <c r="F69" s="1" t="n">
        <v>208.96</v>
      </c>
      <c r="G69" s="1" t="n">
        <v>520542</v>
      </c>
      <c r="H69" s="1" t="n">
        <v>320944</v>
      </c>
      <c r="I69" s="1" t="n">
        <f aca="false">MIN(H$68:H$70)</f>
        <v>194574</v>
      </c>
      <c r="J69" s="1" t="n">
        <f aca="false" t="array" ref="J69:J69">_xlfn.XLOOKUP(1, ($Q$3:$Q$44=B69) * ($R$3:$R$44=A69), $S$3:$S$44)</f>
        <v>110950</v>
      </c>
      <c r="K6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0.649470124477063</v>
      </c>
      <c r="L6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1.89269040108157</v>
      </c>
      <c r="O69" s="0" t="n">
        <v>6</v>
      </c>
      <c r="P69" s="2" t="n">
        <f aca="false">AVERAGEIFS($L$2:$L$1000, $B$2:$B$1000, $O69, $C$2:$C$1000, P$63, $A$2:$A$1000, "&lt;50")</f>
        <v>0.890159638594519</v>
      </c>
      <c r="Q69" s="2" t="n">
        <f aca="false">AVERAGEIFS($L$2:$L$1000, $B$2:$B$1000, $O69, $C$2:$C$1000, Q$63, $A$2:$A$1000, "&lt;50")</f>
        <v>0.890159638594519</v>
      </c>
      <c r="R69" s="2" t="n">
        <f aca="false">AVERAGEIFS($L$2:$L$1000, $B$2:$B$1000, $O69, $C$2:$C$1000, R$63, $A$2:$A$1000, "&lt;50")</f>
        <v>0.890159638594519</v>
      </c>
      <c r="T69" s="0" t="n">
        <v>6</v>
      </c>
      <c r="U69" s="2" t="n">
        <f aca="false">AVERAGEIFS($L$2:$L$1000, $B$2:$B$1000, $O69, $C$2:$C$1000, U$63, $A$2:$A$1000, "&gt;=50")</f>
        <v>0.657780748380738</v>
      </c>
      <c r="V69" s="2" t="n">
        <f aca="false">AVERAGEIFS($L$2:$L$1000, $B$2:$B$1000, $O69, $C$2:$C$1000, V$63, $A$2:$A$1000, "&gt;=50")</f>
        <v>0.871892776682625</v>
      </c>
      <c r="W69" s="2" t="s">
        <v>21</v>
      </c>
    </row>
    <row r="70" customFormat="false" ht="15" hidden="false" customHeight="false" outlineLevel="0" collapsed="false">
      <c r="A70" s="1" t="n">
        <v>50</v>
      </c>
      <c r="B70" s="1" t="n">
        <v>4</v>
      </c>
      <c r="C70" s="1" t="s">
        <v>15</v>
      </c>
      <c r="D70" s="1" t="n">
        <v>0</v>
      </c>
      <c r="E70" s="1" t="n">
        <v>0</v>
      </c>
      <c r="F70" s="1" t="n">
        <v>0</v>
      </c>
      <c r="G70" s="1" t="n">
        <v>520542</v>
      </c>
      <c r="H70" s="1" t="n">
        <v>520542</v>
      </c>
      <c r="I70" s="1" t="n">
        <f aca="false">MIN(H$68:H$70)</f>
        <v>194574</v>
      </c>
      <c r="J70" s="1" t="n">
        <f aca="false" t="array" ref="J70:J70">_xlfn.XLOOKUP(1, ($Q$3:$Q$44=B70) * ($R$3:$R$44=A70), $S$3:$S$44)</f>
        <v>110950</v>
      </c>
      <c r="K70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70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  <c r="O70" s="0" t="n">
        <v>7</v>
      </c>
      <c r="P70" s="2" t="n">
        <f aca="false">AVERAGEIFS($L$2:$L$1000, $B$2:$B$1000, $O70, $C$2:$C$1000, P$63, $A$2:$A$1000, "&lt;50")</f>
        <v>1.00171636363636</v>
      </c>
      <c r="Q70" s="2" t="n">
        <f aca="false">AVERAGEIFS($L$2:$L$1000, $B$2:$B$1000, $O70, $C$2:$C$1000, Q$63, $A$2:$A$1000, "&lt;50")</f>
        <v>1.00171636363636</v>
      </c>
      <c r="R70" s="2" t="n">
        <f aca="false">AVERAGEIFS($L$2:$L$1000, $B$2:$B$1000, $O70, $C$2:$C$1000, R$63, $A$2:$A$1000, "&lt;50")</f>
        <v>1.00171636363636</v>
      </c>
      <c r="T70" s="0" t="n">
        <v>7</v>
      </c>
      <c r="U70" s="2" t="n">
        <f aca="false">AVERAGEIFS($L$2:$L$1000, $B$2:$B$1000, $O70, $C$2:$C$1000, U$63, $A$2:$A$1000, "&gt;=50")</f>
        <v>1.002125</v>
      </c>
      <c r="V70" s="2" t="n">
        <f aca="false">AVERAGEIFS($L$2:$L$1000, $B$2:$B$1000, $O70, $C$2:$C$1000, V$63, $A$2:$A$1000, "&gt;=50")</f>
        <v>1.002125</v>
      </c>
      <c r="W70" s="2" t="s">
        <v>21</v>
      </c>
    </row>
    <row r="71" customFormat="false" ht="15" hidden="false" customHeight="false" outlineLevel="0" collapsed="false">
      <c r="A71" s="1" t="n">
        <v>100</v>
      </c>
      <c r="B71" s="1" t="n">
        <v>4</v>
      </c>
      <c r="C71" s="1" t="s">
        <v>12</v>
      </c>
      <c r="D71" s="1" t="n">
        <v>0.8579</v>
      </c>
      <c r="E71" s="1" t="n">
        <v>1.47157</v>
      </c>
      <c r="F71" s="1" t="n">
        <v>1471.57</v>
      </c>
      <c r="G71" s="1" t="n">
        <v>286763</v>
      </c>
      <c r="H71" s="1" t="n">
        <v>40745</v>
      </c>
      <c r="I71" s="1" t="n">
        <f aca="false">MIN(H$71:H$73)</f>
        <v>40745</v>
      </c>
      <c r="J71" s="1" t="n">
        <f aca="false" t="array" ref="J71:J71">_xlfn.XLOOKUP(1, ($Q$3:$Q$44=B71) * ($R$3:$R$44=A71), $S$3:$S$44)</f>
        <v>30900</v>
      </c>
      <c r="K7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7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0.318608414239482</v>
      </c>
    </row>
    <row r="72" customFormat="false" ht="15" hidden="false" customHeight="false" outlineLevel="0" collapsed="false">
      <c r="A72" s="1" t="n">
        <v>100</v>
      </c>
      <c r="B72" s="1" t="n">
        <v>4</v>
      </c>
      <c r="C72" s="1" t="s">
        <v>14</v>
      </c>
      <c r="D72" s="1" t="n">
        <v>0.8426</v>
      </c>
      <c r="E72" s="1" t="n">
        <v>0.80442</v>
      </c>
      <c r="F72" s="1" t="n">
        <v>804.42</v>
      </c>
      <c r="G72" s="1" t="n">
        <v>286763</v>
      </c>
      <c r="H72" s="1" t="n">
        <v>45128.5</v>
      </c>
      <c r="I72" s="1" t="n">
        <f aca="false">MIN(H$71:H$73)</f>
        <v>40745</v>
      </c>
      <c r="J72" s="1" t="n">
        <f aca="false" t="array" ref="J72:J72">_xlfn.XLOOKUP(1, ($Q$3:$Q$44=B72) * ($R$3:$R$44=A72), $S$3:$S$44)</f>
        <v>30900</v>
      </c>
      <c r="K7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0.107583752607682</v>
      </c>
      <c r="L7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0.46046925566343</v>
      </c>
    </row>
    <row r="73" customFormat="false" ht="15" hidden="false" customHeight="false" outlineLevel="0" collapsed="false">
      <c r="A73" s="1" t="n">
        <v>100</v>
      </c>
      <c r="B73" s="1" t="n">
        <v>4</v>
      </c>
      <c r="C73" s="1" t="s">
        <v>15</v>
      </c>
      <c r="D73" s="1" t="n">
        <v>0</v>
      </c>
      <c r="E73" s="1" t="n">
        <v>0</v>
      </c>
      <c r="F73" s="1" t="n">
        <v>0</v>
      </c>
      <c r="G73" s="1" t="n">
        <v>286763</v>
      </c>
      <c r="H73" s="1" t="n">
        <v>286763</v>
      </c>
      <c r="I73" s="1" t="n">
        <f aca="false">MIN(H$71:H$73)</f>
        <v>40745</v>
      </c>
      <c r="J73" s="1" t="n">
        <f aca="false" t="array" ref="J73:J73">_xlfn.XLOOKUP(1, ($Q$3:$Q$44=B73) * ($R$3:$R$44=A73), $S$3:$S$44)</f>
        <v>30900</v>
      </c>
      <c r="K73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73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</row>
    <row r="74" customFormat="false" ht="15" hidden="false" customHeight="false" outlineLevel="0" collapsed="false">
      <c r="A74" s="1" t="n">
        <v>5</v>
      </c>
      <c r="B74" s="1" t="n">
        <v>5</v>
      </c>
      <c r="C74" s="1" t="s">
        <v>12</v>
      </c>
      <c r="D74" s="1" t="n">
        <v>0.5423</v>
      </c>
      <c r="E74" s="1" t="n">
        <v>0.05096</v>
      </c>
      <c r="F74" s="1" t="n">
        <v>50.95</v>
      </c>
      <c r="G74" s="1" t="n">
        <v>91980</v>
      </c>
      <c r="H74" s="1" t="n">
        <v>42102</v>
      </c>
      <c r="I74" s="1" t="n">
        <f aca="false">MIN(H$74:H$76)</f>
        <v>42102</v>
      </c>
      <c r="J74" s="1" t="n">
        <f aca="false" t="array" ref="J74:J74">_xlfn.XLOOKUP(1, ($Q$3:$Q$44=B74) * ($R$3:$R$44=A74), $S$3:$S$44)</f>
        <v>24000</v>
      </c>
      <c r="K7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7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0.75425</v>
      </c>
    </row>
    <row r="75" customFormat="false" ht="15" hidden="false" customHeight="false" outlineLevel="0" collapsed="false">
      <c r="A75" s="1" t="n">
        <v>5</v>
      </c>
      <c r="B75" s="1" t="n">
        <v>5</v>
      </c>
      <c r="C75" s="1" t="s">
        <v>14</v>
      </c>
      <c r="D75" s="1" t="n">
        <v>0.5423</v>
      </c>
      <c r="E75" s="1" t="n">
        <v>0.03892</v>
      </c>
      <c r="F75" s="1" t="n">
        <v>38.92</v>
      </c>
      <c r="G75" s="1" t="n">
        <v>91980</v>
      </c>
      <c r="H75" s="1" t="n">
        <v>42102</v>
      </c>
      <c r="I75" s="1" t="n">
        <f aca="false">MIN(H$74:H$76)</f>
        <v>42102</v>
      </c>
      <c r="J75" s="1" t="n">
        <f aca="false" t="array" ref="J75:J75">_xlfn.XLOOKUP(1, ($Q$3:$Q$44=B75) * ($R$3:$R$44=A75), $S$3:$S$44)</f>
        <v>24000</v>
      </c>
      <c r="K7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7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0.75425</v>
      </c>
    </row>
    <row r="76" customFormat="false" ht="15" hidden="false" customHeight="false" outlineLevel="0" collapsed="false">
      <c r="A76" s="1" t="n">
        <v>5</v>
      </c>
      <c r="B76" s="1" t="n">
        <v>5</v>
      </c>
      <c r="C76" s="1" t="s">
        <v>15</v>
      </c>
      <c r="D76" s="1" t="n">
        <v>0.5423</v>
      </c>
      <c r="E76" s="1" t="n">
        <v>0.03857</v>
      </c>
      <c r="F76" s="1" t="n">
        <v>38.57</v>
      </c>
      <c r="G76" s="1" t="n">
        <v>91980</v>
      </c>
      <c r="H76" s="1" t="n">
        <v>42102</v>
      </c>
      <c r="I76" s="1" t="n">
        <f aca="false">MIN(H$74:H$76)</f>
        <v>42102</v>
      </c>
      <c r="J76" s="1" t="n">
        <f aca="false" t="array" ref="J76:J76">_xlfn.XLOOKUP(1, ($Q$3:$Q$44=B76) * ($R$3:$R$44=A76), $S$3:$S$44)</f>
        <v>24000</v>
      </c>
      <c r="K7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7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0.75425</v>
      </c>
    </row>
    <row r="77" customFormat="false" ht="15" hidden="false" customHeight="false" outlineLevel="0" collapsed="false">
      <c r="A77" s="1" t="n">
        <v>10</v>
      </c>
      <c r="B77" s="1" t="n">
        <v>5</v>
      </c>
      <c r="C77" s="1" t="s">
        <v>12</v>
      </c>
      <c r="D77" s="1" t="n">
        <v>0.5824</v>
      </c>
      <c r="E77" s="1" t="n">
        <v>0.11578</v>
      </c>
      <c r="F77" s="1" t="n">
        <v>115.78</v>
      </c>
      <c r="G77" s="1" t="n">
        <v>81981</v>
      </c>
      <c r="H77" s="1" t="n">
        <v>34239</v>
      </c>
      <c r="I77" s="1" t="n">
        <f aca="false">MIN(H$77:H$79)</f>
        <v>26509</v>
      </c>
      <c r="J77" s="1" t="n">
        <f aca="false" t="array" ref="J77:J77">_xlfn.XLOOKUP(1, ($Q$3:$Q$44=B77) * ($R$3:$R$44=A77), $S$3:$S$44)</f>
        <v>19500</v>
      </c>
      <c r="K7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0.291599079557886</v>
      </c>
      <c r="L7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0.755846153846154</v>
      </c>
      <c r="O77" s="9" t="s">
        <v>2</v>
      </c>
      <c r="P77" s="9" t="s">
        <v>22</v>
      </c>
      <c r="Q77" s="9" t="s">
        <v>23</v>
      </c>
      <c r="R77" s="9" t="s">
        <v>24</v>
      </c>
    </row>
    <row r="78" customFormat="false" ht="15" hidden="false" customHeight="false" outlineLevel="0" collapsed="false">
      <c r="A78" s="1" t="n">
        <v>10</v>
      </c>
      <c r="B78" s="1" t="n">
        <v>5</v>
      </c>
      <c r="C78" s="1" t="s">
        <v>14</v>
      </c>
      <c r="D78" s="1" t="n">
        <v>0.5824</v>
      </c>
      <c r="E78" s="1" t="n">
        <v>0.0835</v>
      </c>
      <c r="F78" s="1" t="n">
        <v>83.5</v>
      </c>
      <c r="G78" s="1" t="n">
        <v>81981</v>
      </c>
      <c r="H78" s="1" t="n">
        <v>34239</v>
      </c>
      <c r="I78" s="1" t="n">
        <f aca="false">MIN(H$77:H$79)</f>
        <v>26509</v>
      </c>
      <c r="J78" s="1" t="n">
        <f aca="false" t="array" ref="J78:J78">_xlfn.XLOOKUP(1, ($Q$3:$Q$44=B78) * ($R$3:$R$44=A78), $S$3:$S$44)</f>
        <v>19500</v>
      </c>
      <c r="K7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0.291599079557886</v>
      </c>
      <c r="L7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0.755846153846154</v>
      </c>
      <c r="O78" s="10" t="s">
        <v>12</v>
      </c>
      <c r="P78" s="2" t="n">
        <f aca="false">AVERAGEIF($C$2:$C$1000, $O78, $L$2:$L$1000)</f>
        <v>0.847004659150817</v>
      </c>
      <c r="Q78" s="2" t="n">
        <f aca="false">AVERAGEIFS($L$2:$L$1000, $C$2:$C$1000, $O78, $A$2:$A$1000, "&lt;=30")</f>
        <v>0.93446408425387</v>
      </c>
      <c r="R78" s="2" t="n">
        <f aca="false">AVERAGEIFS($L$2:$L$1000, $C$2:$C$1000, $O78, $A$2:$A$1000, "&gt;30")</f>
        <v>0.672085808944712</v>
      </c>
    </row>
    <row r="79" customFormat="false" ht="15" hidden="false" customHeight="false" outlineLevel="0" collapsed="false">
      <c r="A79" s="1" t="n">
        <v>10</v>
      </c>
      <c r="B79" s="1" t="n">
        <v>5</v>
      </c>
      <c r="C79" s="1" t="s">
        <v>15</v>
      </c>
      <c r="D79" s="1" t="n">
        <v>0.6766</v>
      </c>
      <c r="E79" s="1" t="n">
        <v>0.05568</v>
      </c>
      <c r="F79" s="1" t="n">
        <v>55.67</v>
      </c>
      <c r="G79" s="1" t="n">
        <v>81981</v>
      </c>
      <c r="H79" s="1" t="n">
        <v>26509</v>
      </c>
      <c r="I79" s="1" t="n">
        <f aca="false">MIN(H$77:H$79)</f>
        <v>26509</v>
      </c>
      <c r="J79" s="1" t="n">
        <f aca="false" t="array" ref="J79:J79">_xlfn.XLOOKUP(1, ($Q$3:$Q$44=B79) * ($R$3:$R$44=A79), $S$3:$S$44)</f>
        <v>19500</v>
      </c>
      <c r="K7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7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0.359435897435897</v>
      </c>
      <c r="O79" s="10" t="s">
        <v>19</v>
      </c>
      <c r="P79" s="2" t="n">
        <f aca="false">AVERAGEIF($C$2:$C$1000, $O79, $L$2:$L$1000)</f>
        <v>0.916306381099805</v>
      </c>
      <c r="Q79" s="2" t="n">
        <f aca="false">AVERAGEIFS($L$2:$L$1000, $C$2:$C$1000, $O79, $A$2:$A$1000, "&lt;=30")</f>
        <v>0.977103580704624</v>
      </c>
      <c r="R79" s="2" t="n">
        <f aca="false">AVERAGEIFS($L$2:$L$1000, $C$2:$C$1000, $O79, $A$2:$A$1000, "&gt;30")</f>
        <v>0.794711981890167</v>
      </c>
    </row>
    <row r="80" customFormat="false" ht="15" hidden="false" customHeight="false" outlineLevel="0" collapsed="false">
      <c r="A80" s="1" t="n">
        <v>20</v>
      </c>
      <c r="B80" s="1" t="n">
        <v>5</v>
      </c>
      <c r="C80" s="1" t="s">
        <v>12</v>
      </c>
      <c r="D80" s="1" t="n">
        <v>0.5974</v>
      </c>
      <c r="E80" s="1" t="n">
        <v>0.12679</v>
      </c>
      <c r="F80" s="1" t="n">
        <v>126.78</v>
      </c>
      <c r="G80" s="1" t="n">
        <v>110981</v>
      </c>
      <c r="H80" s="1" t="n">
        <v>44678</v>
      </c>
      <c r="I80" s="1" t="n">
        <f aca="false">MIN(H$80:H$82)</f>
        <v>42917</v>
      </c>
      <c r="J80" s="1" t="n">
        <f aca="false" t="array" ref="J80:J80">_xlfn.XLOOKUP(1, ($Q$3:$Q$44=B80) * ($R$3:$R$44=A80), $S$3:$S$44)</f>
        <v>31250</v>
      </c>
      <c r="K8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0.0410326910082252</v>
      </c>
      <c r="L8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0.429696</v>
      </c>
      <c r="O80" s="11" t="s">
        <v>15</v>
      </c>
      <c r="P80" s="2" t="n">
        <f aca="false">AVERAGEIF($C$2:$C$1000, $O80, $L$2:$L$1000)</f>
        <v>0.737571072483121</v>
      </c>
      <c r="Q80" s="2" t="n">
        <f aca="false">AVERAGEIFS($L$2:$L$1000, $C$2:$C$1000, $O80, $A$2:$A$1000, "&lt;=30")</f>
        <v>0.737571072483121</v>
      </c>
      <c r="R80" s="2" t="s">
        <v>21</v>
      </c>
    </row>
    <row r="81" customFormat="false" ht="15" hidden="false" customHeight="false" outlineLevel="0" collapsed="false">
      <c r="A81" s="1" t="n">
        <v>20</v>
      </c>
      <c r="B81" s="1" t="n">
        <v>5</v>
      </c>
      <c r="C81" s="1" t="s">
        <v>14</v>
      </c>
      <c r="D81" s="1" t="n">
        <v>0.597</v>
      </c>
      <c r="E81" s="1" t="n">
        <v>0.10244</v>
      </c>
      <c r="F81" s="1" t="n">
        <v>102.44</v>
      </c>
      <c r="G81" s="1" t="n">
        <v>110981</v>
      </c>
      <c r="H81" s="1" t="n">
        <v>44728</v>
      </c>
      <c r="I81" s="1" t="n">
        <f aca="false">MIN(H$80:H$82)</f>
        <v>42917</v>
      </c>
      <c r="J81" s="1" t="n">
        <f aca="false" t="array" ref="J81:J81">_xlfn.XLOOKUP(1, ($Q$3:$Q$44=B81) * ($R$3:$R$44=A81), $S$3:$S$44)</f>
        <v>31250</v>
      </c>
      <c r="K8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0.0421977305030641</v>
      </c>
      <c r="L8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0.431296</v>
      </c>
    </row>
    <row r="82" customFormat="false" ht="15" hidden="false" customHeight="false" outlineLevel="0" collapsed="false">
      <c r="A82" s="1" t="n">
        <v>20</v>
      </c>
      <c r="B82" s="1" t="n">
        <v>5</v>
      </c>
      <c r="C82" s="1" t="s">
        <v>15</v>
      </c>
      <c r="D82" s="1" t="n">
        <v>0.6133</v>
      </c>
      <c r="E82" s="1" t="n">
        <v>0.76884</v>
      </c>
      <c r="F82" s="1" t="n">
        <v>768.84</v>
      </c>
      <c r="G82" s="1" t="n">
        <v>110981</v>
      </c>
      <c r="H82" s="1" t="n">
        <v>42917</v>
      </c>
      <c r="I82" s="1" t="n">
        <f aca="false">MIN(H$80:H$82)</f>
        <v>42917</v>
      </c>
      <c r="J82" s="1" t="n">
        <f aca="false" t="array" ref="J82:J82">_xlfn.XLOOKUP(1, ($Q$3:$Q$44=B82) * ($R$3:$R$44=A82), $S$3:$S$44)</f>
        <v>31250</v>
      </c>
      <c r="K8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0.373344</v>
      </c>
    </row>
    <row r="83" customFormat="false" ht="15" hidden="false" customHeight="false" outlineLevel="0" collapsed="false">
      <c r="A83" s="1" t="n">
        <v>30</v>
      </c>
      <c r="B83" s="1" t="n">
        <v>5</v>
      </c>
      <c r="C83" s="1" t="s">
        <v>12</v>
      </c>
      <c r="D83" s="1" t="n">
        <v>0.7183</v>
      </c>
      <c r="E83" s="1" t="n">
        <v>0.12917</v>
      </c>
      <c r="F83" s="1" t="n">
        <v>129.16</v>
      </c>
      <c r="G83" s="1" t="n">
        <v>179924</v>
      </c>
      <c r="H83" s="1" t="n">
        <v>50679.5</v>
      </c>
      <c r="I83" s="1" t="n">
        <f aca="false">MIN(H$83:H$85)</f>
        <v>50679.5</v>
      </c>
      <c r="J83" s="1" t="n">
        <f aca="false" t="array" ref="J83:J83">_xlfn.XLOOKUP(1, ($Q$3:$Q$44=B83) * ($R$3:$R$44=A83), $S$3:$S$44)</f>
        <v>37250</v>
      </c>
      <c r="K8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0.360523489932886</v>
      </c>
    </row>
    <row r="84" customFormat="false" ht="15" hidden="false" customHeight="false" outlineLevel="0" collapsed="false">
      <c r="A84" s="1" t="n">
        <v>30</v>
      </c>
      <c r="B84" s="1" t="n">
        <v>5</v>
      </c>
      <c r="C84" s="1" t="s">
        <v>14</v>
      </c>
      <c r="D84" s="1" t="n">
        <v>0.7183</v>
      </c>
      <c r="E84" s="1" t="n">
        <v>0.08779</v>
      </c>
      <c r="F84" s="1" t="n">
        <v>87.8</v>
      </c>
      <c r="G84" s="1" t="n">
        <v>179924</v>
      </c>
      <c r="H84" s="1" t="n">
        <v>50679.5</v>
      </c>
      <c r="I84" s="1" t="n">
        <f aca="false">MIN(H$83:H$85)</f>
        <v>50679.5</v>
      </c>
      <c r="J84" s="1" t="n">
        <f aca="false" t="array" ref="J84:J84">_xlfn.XLOOKUP(1, ($Q$3:$Q$44=B84) * ($R$3:$R$44=A84), $S$3:$S$44)</f>
        <v>37250</v>
      </c>
      <c r="K8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0.360523489932886</v>
      </c>
    </row>
    <row r="85" customFormat="false" ht="15" hidden="false" customHeight="false" outlineLevel="0" collapsed="false">
      <c r="A85" s="1" t="n">
        <v>30</v>
      </c>
      <c r="B85" s="1" t="n">
        <v>5</v>
      </c>
      <c r="C85" s="1" t="s">
        <v>15</v>
      </c>
      <c r="D85" s="1" t="n">
        <v>0.7183</v>
      </c>
      <c r="E85" s="1" t="n">
        <v>151.7386</v>
      </c>
      <c r="F85" s="1" t="n">
        <v>151738.6</v>
      </c>
      <c r="G85" s="1" t="n">
        <v>179924</v>
      </c>
      <c r="H85" s="1" t="n">
        <v>50679.5</v>
      </c>
      <c r="I85" s="1" t="n">
        <f aca="false">MIN(H$83:H$85)</f>
        <v>50679.5</v>
      </c>
      <c r="J85" s="1" t="n">
        <f aca="false" t="array" ref="J85:J85">_xlfn.XLOOKUP(1, ($Q$3:$Q$44=B85) * ($R$3:$R$44=A85), $S$3:$S$44)</f>
        <v>37250</v>
      </c>
      <c r="K8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0.360523489932886</v>
      </c>
    </row>
    <row r="86" customFormat="false" ht="15" hidden="false" customHeight="false" outlineLevel="0" collapsed="false">
      <c r="A86" s="1" t="n">
        <v>50</v>
      </c>
      <c r="B86" s="1" t="n">
        <v>5</v>
      </c>
      <c r="C86" s="1" t="s">
        <v>12</v>
      </c>
      <c r="D86" s="1" t="n">
        <v>0.8017</v>
      </c>
      <c r="E86" s="1" t="n">
        <v>0.98839</v>
      </c>
      <c r="F86" s="1" t="n">
        <v>988.39</v>
      </c>
      <c r="G86" s="1" t="n">
        <v>200981</v>
      </c>
      <c r="H86" s="1" t="n">
        <v>39863</v>
      </c>
      <c r="I86" s="1" t="n">
        <f aca="false">MIN(H$86:H$88)</f>
        <v>39863</v>
      </c>
      <c r="J86" s="1" t="n">
        <f aca="false" t="array" ref="J86:J86">_xlfn.XLOOKUP(1, ($Q$3:$Q$44=B86) * ($R$3:$R$44=A86), $S$3:$S$44)</f>
        <v>32875</v>
      </c>
      <c r="K8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0.212562737642586</v>
      </c>
    </row>
    <row r="87" customFormat="false" ht="15" hidden="false" customHeight="false" outlineLevel="0" collapsed="false">
      <c r="A87" s="1" t="n">
        <v>50</v>
      </c>
      <c r="B87" s="1" t="n">
        <v>5</v>
      </c>
      <c r="C87" s="1" t="s">
        <v>14</v>
      </c>
      <c r="D87" s="1" t="n">
        <v>0.8017</v>
      </c>
      <c r="E87" s="1" t="n">
        <v>0.55474</v>
      </c>
      <c r="F87" s="1" t="n">
        <v>554.74</v>
      </c>
      <c r="G87" s="1" t="n">
        <v>200981</v>
      </c>
      <c r="H87" s="1" t="n">
        <v>39863</v>
      </c>
      <c r="I87" s="1" t="n">
        <f aca="false">MIN(H$86:H$88)</f>
        <v>39863</v>
      </c>
      <c r="J87" s="1" t="n">
        <f aca="false" t="array" ref="J87:J87">_xlfn.XLOOKUP(1, ($Q$3:$Q$44=B87) * ($R$3:$R$44=A87), $S$3:$S$44)</f>
        <v>32875</v>
      </c>
      <c r="K8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0.212562737642586</v>
      </c>
    </row>
    <row r="88" customFormat="false" ht="15" hidden="false" customHeight="false" outlineLevel="0" collapsed="false">
      <c r="A88" s="1" t="n">
        <v>50</v>
      </c>
      <c r="B88" s="1" t="n">
        <v>5</v>
      </c>
      <c r="C88" s="1" t="s">
        <v>15</v>
      </c>
      <c r="D88" s="1" t="n">
        <v>0</v>
      </c>
      <c r="E88" s="1" t="n">
        <v>0</v>
      </c>
      <c r="F88" s="1" t="n">
        <v>0</v>
      </c>
      <c r="G88" s="1" t="n">
        <v>200981</v>
      </c>
      <c r="H88" s="1" t="n">
        <v>200981</v>
      </c>
      <c r="I88" s="1" t="n">
        <f aca="false">MIN(H$86:H$88)</f>
        <v>39863</v>
      </c>
      <c r="J88" s="1" t="n">
        <f aca="false" t="array" ref="J88:J88">_xlfn.XLOOKUP(1, ($Q$3:$Q$44=B88) * ($R$3:$R$44=A88), $S$3:$S$44)</f>
        <v>32875</v>
      </c>
      <c r="K88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88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</row>
    <row r="89" customFormat="false" ht="15" hidden="false" customHeight="false" outlineLevel="0" collapsed="false">
      <c r="A89" s="1" t="n">
        <v>100</v>
      </c>
      <c r="B89" s="1" t="n">
        <v>5</v>
      </c>
      <c r="C89" s="1" t="s">
        <v>12</v>
      </c>
      <c r="D89" s="1" t="n">
        <v>0.7825</v>
      </c>
      <c r="E89" s="1" t="n">
        <v>1.34531</v>
      </c>
      <c r="F89" s="1" t="n">
        <v>1345.31</v>
      </c>
      <c r="G89" s="1" t="n">
        <v>189924</v>
      </c>
      <c r="H89" s="1" t="n">
        <v>41302.5</v>
      </c>
      <c r="I89" s="1" t="n">
        <f aca="false">MIN(H$89:H$91)</f>
        <v>41302.5</v>
      </c>
      <c r="J89" s="1" t="n">
        <f aca="false" t="array" ref="J89:J89">_xlfn.XLOOKUP(1, ($Q$3:$Q$44=B89) * ($R$3:$R$44=A89), $S$3:$S$44)</f>
        <v>29600</v>
      </c>
      <c r="K8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8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0.39535472972973</v>
      </c>
    </row>
    <row r="90" customFormat="false" ht="15" hidden="false" customHeight="false" outlineLevel="0" collapsed="false">
      <c r="A90" s="1" t="n">
        <v>100</v>
      </c>
      <c r="B90" s="1" t="n">
        <v>5</v>
      </c>
      <c r="C90" s="1" t="s">
        <v>14</v>
      </c>
      <c r="D90" s="1" t="n">
        <v>0.7825</v>
      </c>
      <c r="E90" s="1" t="n">
        <v>0.50026</v>
      </c>
      <c r="F90" s="1" t="n">
        <v>500.26</v>
      </c>
      <c r="G90" s="1" t="n">
        <v>189924</v>
      </c>
      <c r="H90" s="1" t="n">
        <v>41302.5</v>
      </c>
      <c r="I90" s="1" t="n">
        <f aca="false">MIN(H$89:H$91)</f>
        <v>41302.5</v>
      </c>
      <c r="J90" s="1" t="n">
        <f aca="false" t="array" ref="J90:J90">_xlfn.XLOOKUP(1, ($Q$3:$Q$44=B90) * ($R$3:$R$44=A90), $S$3:$S$44)</f>
        <v>29600</v>
      </c>
      <c r="K9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0.39535472972973</v>
      </c>
    </row>
    <row r="91" customFormat="false" ht="15" hidden="false" customHeight="false" outlineLevel="0" collapsed="false">
      <c r="A91" s="1" t="n">
        <v>100</v>
      </c>
      <c r="B91" s="1" t="n">
        <v>5</v>
      </c>
      <c r="C91" s="1" t="s">
        <v>15</v>
      </c>
      <c r="D91" s="1" t="n">
        <v>0</v>
      </c>
      <c r="E91" s="1" t="n">
        <v>0</v>
      </c>
      <c r="F91" s="1" t="n">
        <v>0</v>
      </c>
      <c r="G91" s="1" t="n">
        <v>189924</v>
      </c>
      <c r="H91" s="1" t="n">
        <v>189924</v>
      </c>
      <c r="I91" s="1" t="n">
        <f aca="false">MIN(H$89:H$91)</f>
        <v>41302.5</v>
      </c>
      <c r="J91" s="1" t="n">
        <f aca="false" t="array" ref="J91:J91">_xlfn.XLOOKUP(1, ($Q$3:$Q$44=B91) * ($R$3:$R$44=A91), $S$3:$S$44)</f>
        <v>29600</v>
      </c>
      <c r="K91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91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</row>
    <row r="92" customFormat="false" ht="15" hidden="false" customHeight="false" outlineLevel="0" collapsed="false">
      <c r="A92" s="1" t="n">
        <v>5</v>
      </c>
      <c r="B92" s="1" t="n">
        <v>6</v>
      </c>
      <c r="C92" s="1" t="s">
        <v>12</v>
      </c>
      <c r="D92" s="1" t="n">
        <v>0.2873</v>
      </c>
      <c r="E92" s="1" t="n">
        <v>0.08636</v>
      </c>
      <c r="F92" s="1" t="n">
        <v>86.36</v>
      </c>
      <c r="G92" s="1" t="n">
        <v>42140</v>
      </c>
      <c r="H92" s="1" t="n">
        <v>30033</v>
      </c>
      <c r="I92" s="1" t="n">
        <f aca="false">MIN(H$92:H$94)</f>
        <v>30033</v>
      </c>
      <c r="J92" s="1" t="n">
        <f aca="false" t="array" ref="J92:J92">_xlfn.XLOOKUP(1, ($Q$3:$Q$44=B92) * ($R$3:$R$44=A92), $S$3:$S$44)</f>
        <v>13500</v>
      </c>
      <c r="K9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1.22466666666667</v>
      </c>
    </row>
    <row r="93" customFormat="false" ht="15" hidden="false" customHeight="false" outlineLevel="0" collapsed="false">
      <c r="A93" s="1" t="n">
        <v>5</v>
      </c>
      <c r="B93" s="1" t="n">
        <v>6</v>
      </c>
      <c r="C93" s="1" t="s">
        <v>14</v>
      </c>
      <c r="D93" s="1" t="n">
        <v>0.2873</v>
      </c>
      <c r="E93" s="1" t="n">
        <v>0.06588</v>
      </c>
      <c r="F93" s="1" t="n">
        <v>65.88</v>
      </c>
      <c r="G93" s="1" t="n">
        <v>42140</v>
      </c>
      <c r="H93" s="1" t="n">
        <v>30033</v>
      </c>
      <c r="I93" s="1" t="n">
        <f aca="false">MIN(H$92:H$94)</f>
        <v>30033</v>
      </c>
      <c r="J93" s="1" t="n">
        <f aca="false" t="array" ref="J93:J93">_xlfn.XLOOKUP(1, ($Q$3:$Q$44=B93) * ($R$3:$R$44=A93), $S$3:$S$44)</f>
        <v>13500</v>
      </c>
      <c r="K9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1.22466666666667</v>
      </c>
    </row>
    <row r="94" customFormat="false" ht="15" hidden="false" customHeight="false" outlineLevel="0" collapsed="false">
      <c r="A94" s="1" t="n">
        <v>5</v>
      </c>
      <c r="B94" s="1" t="n">
        <v>6</v>
      </c>
      <c r="C94" s="1" t="s">
        <v>15</v>
      </c>
      <c r="D94" s="1" t="n">
        <v>0.2873</v>
      </c>
      <c r="E94" s="1" t="n">
        <v>0.06745</v>
      </c>
      <c r="F94" s="1" t="n">
        <v>67.45</v>
      </c>
      <c r="G94" s="1" t="n">
        <v>42140</v>
      </c>
      <c r="H94" s="1" t="n">
        <v>30033</v>
      </c>
      <c r="I94" s="1" t="n">
        <f aca="false">MIN(H$92:H$94)</f>
        <v>30033</v>
      </c>
      <c r="J94" s="1" t="n">
        <f aca="false" t="array" ref="J94:J94">_xlfn.XLOOKUP(1, ($Q$3:$Q$44=B94) * ($R$3:$R$44=A94), $S$3:$S$44)</f>
        <v>13500</v>
      </c>
      <c r="K9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1.22466666666667</v>
      </c>
    </row>
    <row r="95" customFormat="false" ht="15" hidden="false" customHeight="false" outlineLevel="0" collapsed="false">
      <c r="A95" s="1" t="n">
        <v>10</v>
      </c>
      <c r="B95" s="1" t="n">
        <v>6</v>
      </c>
      <c r="C95" s="1" t="s">
        <v>12</v>
      </c>
      <c r="D95" s="1" t="n">
        <v>0.5365</v>
      </c>
      <c r="E95" s="1" t="n">
        <v>0.35902</v>
      </c>
      <c r="F95" s="1" t="n">
        <v>359.02</v>
      </c>
      <c r="G95" s="1" t="n">
        <v>99928</v>
      </c>
      <c r="H95" s="1" t="n">
        <v>46312</v>
      </c>
      <c r="I95" s="1" t="n">
        <f aca="false">MIN(H$95:H$97)</f>
        <v>46312</v>
      </c>
      <c r="J95" s="1" t="n">
        <f aca="false" t="array" ref="J95:J95">_xlfn.XLOOKUP(1, ($Q$3:$Q$44=B95) * ($R$3:$R$44=A95), $S$3:$S$44)</f>
        <v>27000</v>
      </c>
      <c r="K9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0.715259259259259</v>
      </c>
    </row>
    <row r="96" customFormat="false" ht="15" hidden="false" customHeight="false" outlineLevel="0" collapsed="false">
      <c r="A96" s="1" t="n">
        <v>10</v>
      </c>
      <c r="B96" s="1" t="n">
        <v>6</v>
      </c>
      <c r="C96" s="1" t="s">
        <v>14</v>
      </c>
      <c r="D96" s="1" t="n">
        <v>0.5365</v>
      </c>
      <c r="E96" s="1" t="n">
        <v>0.1879</v>
      </c>
      <c r="F96" s="1" t="n">
        <v>187.9</v>
      </c>
      <c r="G96" s="1" t="n">
        <v>99928</v>
      </c>
      <c r="H96" s="1" t="n">
        <v>46312</v>
      </c>
      <c r="I96" s="1" t="n">
        <f aca="false">MIN(H$95:H$97)</f>
        <v>46312</v>
      </c>
      <c r="J96" s="1" t="n">
        <f aca="false" t="array" ref="J96:J96">_xlfn.XLOOKUP(1, ($Q$3:$Q$44=B96) * ($R$3:$R$44=A96), $S$3:$S$44)</f>
        <v>27000</v>
      </c>
      <c r="K9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0.715259259259259</v>
      </c>
    </row>
    <row r="97" customFormat="false" ht="15" hidden="false" customHeight="false" outlineLevel="0" collapsed="false">
      <c r="A97" s="1" t="n">
        <v>10</v>
      </c>
      <c r="B97" s="1" t="n">
        <v>6</v>
      </c>
      <c r="C97" s="1" t="s">
        <v>15</v>
      </c>
      <c r="D97" s="1" t="n">
        <v>0.5365</v>
      </c>
      <c r="E97" s="1" t="n">
        <v>0.25721</v>
      </c>
      <c r="F97" s="1" t="n">
        <v>257.21</v>
      </c>
      <c r="G97" s="1" t="n">
        <v>99928</v>
      </c>
      <c r="H97" s="1" t="n">
        <v>46312</v>
      </c>
      <c r="I97" s="1" t="n">
        <f aca="false">MIN(H$95:H$97)</f>
        <v>46312</v>
      </c>
      <c r="J97" s="1" t="n">
        <f aca="false" t="array" ref="J97:J97">_xlfn.XLOOKUP(1, ($Q$3:$Q$44=B97) * ($R$3:$R$44=A97), $S$3:$S$44)</f>
        <v>27000</v>
      </c>
      <c r="K9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0.715259259259259</v>
      </c>
    </row>
    <row r="98" customFormat="false" ht="15" hidden="false" customHeight="false" outlineLevel="0" collapsed="false">
      <c r="A98" s="1" t="n">
        <v>20</v>
      </c>
      <c r="B98" s="1" t="n">
        <v>6</v>
      </c>
      <c r="C98" s="1" t="s">
        <v>12</v>
      </c>
      <c r="D98" s="1" t="n">
        <v>0.5232</v>
      </c>
      <c r="E98" s="1" t="n">
        <v>0.1976</v>
      </c>
      <c r="F98" s="1" t="n">
        <v>197.6</v>
      </c>
      <c r="G98" s="1" t="n">
        <v>243980</v>
      </c>
      <c r="H98" s="1" t="n">
        <v>116334.5</v>
      </c>
      <c r="I98" s="1" t="n">
        <f aca="false">MIN(H$98:H$100)</f>
        <v>116334.5</v>
      </c>
      <c r="J98" s="1" t="n">
        <f aca="false" t="array" ref="J98:J98">_xlfn.XLOOKUP(1, ($Q$3:$Q$44=B98) * ($R$3:$R$44=A98), $S$3:$S$44)</f>
        <v>72000</v>
      </c>
      <c r="K9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0.615756944444444</v>
      </c>
    </row>
    <row r="99" customFormat="false" ht="15" hidden="false" customHeight="false" outlineLevel="0" collapsed="false">
      <c r="A99" s="1" t="n">
        <v>20</v>
      </c>
      <c r="B99" s="1" t="n">
        <v>6</v>
      </c>
      <c r="C99" s="1" t="s">
        <v>14</v>
      </c>
      <c r="D99" s="1" t="n">
        <v>0.5232</v>
      </c>
      <c r="E99" s="1" t="n">
        <v>0.16075</v>
      </c>
      <c r="F99" s="1" t="n">
        <v>160.75</v>
      </c>
      <c r="G99" s="1" t="n">
        <v>243980</v>
      </c>
      <c r="H99" s="1" t="n">
        <v>116334.5</v>
      </c>
      <c r="I99" s="1" t="n">
        <f aca="false">MIN(H$98:H$100)</f>
        <v>116334.5</v>
      </c>
      <c r="J99" s="1" t="n">
        <f aca="false" t="array" ref="J99:J99">_xlfn.XLOOKUP(1, ($Q$3:$Q$44=B99) * ($R$3:$R$44=A99), $S$3:$S$44)</f>
        <v>72000</v>
      </c>
      <c r="K9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9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0.615756944444444</v>
      </c>
    </row>
    <row r="100" customFormat="false" ht="15" hidden="false" customHeight="false" outlineLevel="0" collapsed="false">
      <c r="A100" s="1" t="n">
        <v>20</v>
      </c>
      <c r="B100" s="1" t="n">
        <v>6</v>
      </c>
      <c r="C100" s="1" t="s">
        <v>15</v>
      </c>
      <c r="D100" s="1" t="n">
        <v>0.5232</v>
      </c>
      <c r="E100" s="1" t="n">
        <v>1.34768</v>
      </c>
      <c r="F100" s="1" t="n">
        <v>1347.68</v>
      </c>
      <c r="G100" s="1" t="n">
        <v>243980</v>
      </c>
      <c r="H100" s="1" t="n">
        <v>116334.5</v>
      </c>
      <c r="I100" s="1" t="n">
        <f aca="false">MIN(H$98:H$100)</f>
        <v>116334.5</v>
      </c>
      <c r="J100" s="1" t="n">
        <f aca="false" t="array" ref="J100:J100">_xlfn.XLOOKUP(1, ($Q$3:$Q$44=B100) * ($R$3:$R$44=A100), $S$3:$S$44)</f>
        <v>72000</v>
      </c>
      <c r="K10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0.615756944444444</v>
      </c>
    </row>
    <row r="101" customFormat="false" ht="15" hidden="false" customHeight="false" outlineLevel="0" collapsed="false">
      <c r="A101" s="1" t="n">
        <v>30</v>
      </c>
      <c r="B101" s="1" t="n">
        <v>6</v>
      </c>
      <c r="C101" s="1" t="s">
        <v>12</v>
      </c>
      <c r="D101" s="1" t="n">
        <v>0.0733</v>
      </c>
      <c r="E101" s="1" t="n">
        <v>0.09148</v>
      </c>
      <c r="F101" s="1" t="n">
        <v>91.48</v>
      </c>
      <c r="G101" s="1" t="n">
        <v>561452</v>
      </c>
      <c r="H101" s="1" t="n">
        <v>520286</v>
      </c>
      <c r="I101" s="1" t="n">
        <f aca="false">MIN(H$101:H$103)</f>
        <v>520286</v>
      </c>
      <c r="J101" s="1" t="n">
        <f aca="false" t="array" ref="J101:J101">_xlfn.XLOOKUP(1, ($Q$3:$Q$44=B101) * ($R$3:$R$44=A101), $S$3:$S$44)</f>
        <v>259500</v>
      </c>
      <c r="K10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1.00495568400771</v>
      </c>
    </row>
    <row r="102" customFormat="false" ht="15" hidden="false" customHeight="false" outlineLevel="0" collapsed="false">
      <c r="A102" s="1" t="n">
        <v>30</v>
      </c>
      <c r="B102" s="1" t="n">
        <v>6</v>
      </c>
      <c r="C102" s="1" t="s">
        <v>14</v>
      </c>
      <c r="D102" s="1" t="n">
        <v>0.0733</v>
      </c>
      <c r="E102" s="1" t="n">
        <v>0.07034</v>
      </c>
      <c r="F102" s="1" t="n">
        <v>70.34</v>
      </c>
      <c r="G102" s="1" t="n">
        <v>561452</v>
      </c>
      <c r="H102" s="1" t="n">
        <v>520286</v>
      </c>
      <c r="I102" s="1" t="n">
        <f aca="false">MIN(H$101:H$103)</f>
        <v>520286</v>
      </c>
      <c r="J102" s="1" t="n">
        <f aca="false" t="array" ref="J102:J102">_xlfn.XLOOKUP(1, ($Q$3:$Q$44=B102) * ($R$3:$R$44=A102), $S$3:$S$44)</f>
        <v>259500</v>
      </c>
      <c r="K10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1.00495568400771</v>
      </c>
    </row>
    <row r="103" customFormat="false" ht="15" hidden="false" customHeight="false" outlineLevel="0" collapsed="false">
      <c r="A103" s="1" t="n">
        <v>30</v>
      </c>
      <c r="B103" s="1" t="n">
        <v>6</v>
      </c>
      <c r="C103" s="1" t="s">
        <v>15</v>
      </c>
      <c r="D103" s="1" t="n">
        <v>0.0733</v>
      </c>
      <c r="E103" s="1" t="n">
        <v>14056.06734</v>
      </c>
      <c r="F103" s="1" t="n">
        <v>14056067.34</v>
      </c>
      <c r="G103" s="1" t="n">
        <v>561452</v>
      </c>
      <c r="H103" s="1" t="n">
        <v>520286</v>
      </c>
      <c r="I103" s="1" t="n">
        <f aca="false">MIN(H$101:H$103)</f>
        <v>520286</v>
      </c>
      <c r="J103" s="1" t="n">
        <f aca="false" t="array" ref="J103:J103">_xlfn.XLOOKUP(1, ($Q$3:$Q$44=B103) * ($R$3:$R$44=A103), $S$3:$S$44)</f>
        <v>259500</v>
      </c>
      <c r="K10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1.00495568400771</v>
      </c>
    </row>
    <row r="104" customFormat="false" ht="15" hidden="false" customHeight="false" outlineLevel="0" collapsed="false">
      <c r="A104" s="1" t="n">
        <v>50</v>
      </c>
      <c r="B104" s="1" t="n">
        <v>6</v>
      </c>
      <c r="C104" s="1" t="s">
        <v>12</v>
      </c>
      <c r="D104" s="1" t="n">
        <v>0.5598</v>
      </c>
      <c r="E104" s="1" t="n">
        <v>0.09368</v>
      </c>
      <c r="F104" s="1" t="n">
        <v>93.68</v>
      </c>
      <c r="G104" s="1" t="n">
        <v>693980</v>
      </c>
      <c r="H104" s="1" t="n">
        <v>305475</v>
      </c>
      <c r="I104" s="1" t="n">
        <f aca="false">MIN(H$104:H$106)</f>
        <v>305475</v>
      </c>
      <c r="J104" s="1" t="n">
        <f aca="false" t="array" ref="J104:J104">_xlfn.XLOOKUP(1, ($Q$3:$Q$44=B104) * ($R$3:$R$44=A104), $S$3:$S$44)</f>
        <v>201000</v>
      </c>
      <c r="K10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0.519776119402985</v>
      </c>
    </row>
    <row r="105" customFormat="false" ht="15" hidden="false" customHeight="false" outlineLevel="0" collapsed="false">
      <c r="A105" s="1" t="n">
        <v>50</v>
      </c>
      <c r="B105" s="1" t="n">
        <v>6</v>
      </c>
      <c r="C105" s="1" t="s">
        <v>14</v>
      </c>
      <c r="D105" s="1" t="n">
        <v>0.5598</v>
      </c>
      <c r="E105" s="1" t="n">
        <v>0.0688</v>
      </c>
      <c r="F105" s="1" t="n">
        <v>68.8</v>
      </c>
      <c r="G105" s="1" t="n">
        <v>693980</v>
      </c>
      <c r="H105" s="1" t="n">
        <v>305475</v>
      </c>
      <c r="I105" s="1" t="n">
        <f aca="false">MIN(H$104:H$106)</f>
        <v>305475</v>
      </c>
      <c r="J105" s="1" t="n">
        <f aca="false" t="array" ref="J105:J105">_xlfn.XLOOKUP(1, ($Q$3:$Q$44=B105) * ($R$3:$R$44=A105), $S$3:$S$44)</f>
        <v>201000</v>
      </c>
      <c r="K10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0.519776119402985</v>
      </c>
    </row>
    <row r="106" customFormat="false" ht="15" hidden="false" customHeight="false" outlineLevel="0" collapsed="false">
      <c r="A106" s="1" t="n">
        <v>50</v>
      </c>
      <c r="B106" s="1" t="n">
        <v>6</v>
      </c>
      <c r="C106" s="1" t="s">
        <v>15</v>
      </c>
      <c r="D106" s="1" t="n">
        <v>0</v>
      </c>
      <c r="E106" s="1" t="n">
        <v>0</v>
      </c>
      <c r="F106" s="1" t="n">
        <v>0</v>
      </c>
      <c r="G106" s="1" t="n">
        <v>693980</v>
      </c>
      <c r="H106" s="1" t="n">
        <v>693980</v>
      </c>
      <c r="I106" s="1" t="n">
        <f aca="false">MIN(H$104:H$106)</f>
        <v>305475</v>
      </c>
      <c r="J106" s="1" t="n">
        <f aca="false" t="array" ref="J106:J106">_xlfn.XLOOKUP(1, ($Q$3:$Q$44=B106) * ($R$3:$R$44=A106), $S$3:$S$44)</f>
        <v>201000</v>
      </c>
      <c r="K106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106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</row>
    <row r="107" customFormat="false" ht="15" hidden="false" customHeight="false" outlineLevel="0" collapsed="false">
      <c r="A107" s="1" t="n">
        <v>100</v>
      </c>
      <c r="B107" s="1" t="n">
        <v>6</v>
      </c>
      <c r="C107" s="1" t="s">
        <v>12</v>
      </c>
      <c r="D107" s="1" t="n">
        <v>0.6042</v>
      </c>
      <c r="E107" s="1" t="n">
        <v>0.31316</v>
      </c>
      <c r="F107" s="1" t="n">
        <v>313.16</v>
      </c>
      <c r="G107" s="1" t="n">
        <v>961980</v>
      </c>
      <c r="H107" s="1" t="n">
        <v>380706.5</v>
      </c>
      <c r="I107" s="1" t="n">
        <f aca="false">MIN(H$107:H$109)</f>
        <v>380706.5</v>
      </c>
      <c r="J107" s="1" t="n">
        <f aca="false" t="array" ref="J107:J107">_xlfn.XLOOKUP(1, ($Q$3:$Q$44=B107) * ($R$3:$R$44=A107), $S$3:$S$44)</f>
        <v>212000</v>
      </c>
      <c r="K10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0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0.795785377358491</v>
      </c>
    </row>
    <row r="108" customFormat="false" ht="15" hidden="false" customHeight="false" outlineLevel="0" collapsed="false">
      <c r="A108" s="1" t="n">
        <v>100</v>
      </c>
      <c r="B108" s="1" t="n">
        <v>6</v>
      </c>
      <c r="C108" s="1" t="s">
        <v>14</v>
      </c>
      <c r="D108" s="1" t="n">
        <v>0.5099</v>
      </c>
      <c r="E108" s="1" t="n">
        <v>0.10008</v>
      </c>
      <c r="F108" s="1" t="n">
        <v>100.08</v>
      </c>
      <c r="G108" s="1" t="n">
        <v>961980</v>
      </c>
      <c r="H108" s="1" t="n">
        <v>471490</v>
      </c>
      <c r="I108" s="1" t="n">
        <f aca="false">MIN(H$107:H$109)</f>
        <v>380706.5</v>
      </c>
      <c r="J108" s="1" t="n">
        <f aca="false" t="array" ref="J108:J108">_xlfn.XLOOKUP(1, ($Q$3:$Q$44=B108) * ($R$3:$R$44=A108), $S$3:$S$44)</f>
        <v>212000</v>
      </c>
      <c r="K10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0.238460598912811</v>
      </c>
      <c r="L10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1.22400943396226</v>
      </c>
    </row>
    <row r="109" customFormat="false" ht="15" hidden="false" customHeight="false" outlineLevel="0" collapsed="false">
      <c r="A109" s="1" t="n">
        <v>100</v>
      </c>
      <c r="B109" s="1" t="n">
        <v>6</v>
      </c>
      <c r="C109" s="1" t="s">
        <v>15</v>
      </c>
      <c r="D109" s="1" t="n">
        <v>0</v>
      </c>
      <c r="E109" s="1" t="n">
        <v>0</v>
      </c>
      <c r="F109" s="1" t="n">
        <v>0</v>
      </c>
      <c r="G109" s="1" t="n">
        <v>961980</v>
      </c>
      <c r="H109" s="1" t="n">
        <v>961980</v>
      </c>
      <c r="I109" s="1" t="n">
        <f aca="false">MIN(H$107:H$109)</f>
        <v>380706.5</v>
      </c>
      <c r="J109" s="1" t="n">
        <f aca="false" t="array" ref="J109:J109">_xlfn.XLOOKUP(1, ($Q$3:$Q$44=B109) * ($R$3:$R$44=A109), $S$3:$S$44)</f>
        <v>212000</v>
      </c>
      <c r="K109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109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</row>
    <row r="110" customFormat="false" ht="15" hidden="false" customHeight="false" outlineLevel="0" collapsed="false">
      <c r="A110" s="1" t="n">
        <v>5</v>
      </c>
      <c r="B110" s="1" t="n">
        <v>7</v>
      </c>
      <c r="C110" s="1" t="s">
        <v>12</v>
      </c>
      <c r="D110" s="1" t="n">
        <v>0.5584</v>
      </c>
      <c r="E110" s="1" t="n">
        <v>0.12279</v>
      </c>
      <c r="F110" s="1" t="n">
        <v>122.79</v>
      </c>
      <c r="G110" s="1" t="n">
        <v>170006</v>
      </c>
      <c r="H110" s="1" t="n">
        <v>75072.5</v>
      </c>
      <c r="I110" s="1" t="n">
        <f aca="false">MIN(H$110:H$112)</f>
        <v>75072.5</v>
      </c>
      <c r="J110" s="1" t="n">
        <f aca="false" t="array" ref="J110:J110">_xlfn.XLOOKUP(1, ($Q$3:$Q$44=B110) * ($R$3:$R$44=A110), $S$3:$S$44)</f>
        <v>37500</v>
      </c>
      <c r="K11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1.00193333333333</v>
      </c>
    </row>
    <row r="111" customFormat="false" ht="15" hidden="false" customHeight="false" outlineLevel="0" collapsed="false">
      <c r="A111" s="1" t="n">
        <v>5</v>
      </c>
      <c r="B111" s="1" t="n">
        <v>7</v>
      </c>
      <c r="C111" s="1" t="s">
        <v>14</v>
      </c>
      <c r="D111" s="1" t="n">
        <v>0.5584</v>
      </c>
      <c r="E111" s="1" t="n">
        <v>0.09487</v>
      </c>
      <c r="F111" s="1" t="n">
        <v>94.87</v>
      </c>
      <c r="G111" s="1" t="n">
        <v>170006</v>
      </c>
      <c r="H111" s="1" t="n">
        <v>75072.5</v>
      </c>
      <c r="I111" s="1" t="n">
        <f aca="false">MIN(H$110:H$112)</f>
        <v>75072.5</v>
      </c>
      <c r="J111" s="1" t="n">
        <f aca="false" t="array" ref="J111:J111">_xlfn.XLOOKUP(1, ($Q$3:$Q$44=B111) * ($R$3:$R$44=A111), $S$3:$S$44)</f>
        <v>37500</v>
      </c>
      <c r="K11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1.00193333333333</v>
      </c>
    </row>
    <row r="112" customFormat="false" ht="15" hidden="false" customHeight="false" outlineLevel="0" collapsed="false">
      <c r="A112" s="1" t="n">
        <v>5</v>
      </c>
      <c r="B112" s="1" t="n">
        <v>7</v>
      </c>
      <c r="C112" s="1" t="s">
        <v>15</v>
      </c>
      <c r="D112" s="1" t="n">
        <v>0.5584</v>
      </c>
      <c r="E112" s="1" t="n">
        <v>0.10268</v>
      </c>
      <c r="F112" s="1" t="n">
        <v>102.68</v>
      </c>
      <c r="G112" s="1" t="n">
        <v>170006</v>
      </c>
      <c r="H112" s="1" t="n">
        <v>75072.5</v>
      </c>
      <c r="I112" s="1" t="n">
        <f aca="false">MIN(H$110:H$112)</f>
        <v>75072.5</v>
      </c>
      <c r="J112" s="1" t="n">
        <f aca="false" t="array" ref="J112:J112">_xlfn.XLOOKUP(1, ($Q$3:$Q$44=B112) * ($R$3:$R$44=A112), $S$3:$S$44)</f>
        <v>37500</v>
      </c>
      <c r="K11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1.00193333333333</v>
      </c>
    </row>
    <row r="113" customFormat="false" ht="15" hidden="false" customHeight="false" outlineLevel="0" collapsed="false">
      <c r="A113" s="1" t="n">
        <v>10</v>
      </c>
      <c r="B113" s="1" t="n">
        <v>7</v>
      </c>
      <c r="C113" s="1" t="s">
        <v>12</v>
      </c>
      <c r="D113" s="1" t="n">
        <v>0.2492</v>
      </c>
      <c r="E113" s="1" t="n">
        <v>0.02915</v>
      </c>
      <c r="F113" s="1" t="n">
        <v>29.14</v>
      </c>
      <c r="G113" s="1" t="n">
        <v>199926</v>
      </c>
      <c r="H113" s="1" t="n">
        <v>150095.5</v>
      </c>
      <c r="I113" s="1" t="n">
        <f aca="false">MIN(H$113:H$115)</f>
        <v>150095.5</v>
      </c>
      <c r="J113" s="1" t="n">
        <f aca="false" t="array" ref="J113:J113">_xlfn.XLOOKUP(1, ($Q$3:$Q$44=B113) * ($R$3:$R$44=A113), $S$3:$S$44)</f>
        <v>75000</v>
      </c>
      <c r="K11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1.00127333333333</v>
      </c>
    </row>
    <row r="114" customFormat="false" ht="15" hidden="false" customHeight="false" outlineLevel="0" collapsed="false">
      <c r="A114" s="1" t="n">
        <v>10</v>
      </c>
      <c r="B114" s="1" t="n">
        <v>7</v>
      </c>
      <c r="C114" s="1" t="s">
        <v>14</v>
      </c>
      <c r="D114" s="1" t="n">
        <v>0.2492</v>
      </c>
      <c r="E114" s="1" t="n">
        <v>0.01949</v>
      </c>
      <c r="F114" s="1" t="n">
        <v>19.49</v>
      </c>
      <c r="G114" s="1" t="n">
        <v>199926</v>
      </c>
      <c r="H114" s="1" t="n">
        <v>150095.5</v>
      </c>
      <c r="I114" s="1" t="n">
        <f aca="false">MIN(H$113:H$115)</f>
        <v>150095.5</v>
      </c>
      <c r="J114" s="1" t="n">
        <f aca="false" t="array" ref="J114:J114">_xlfn.XLOOKUP(1, ($Q$3:$Q$44=B114) * ($R$3:$R$44=A114), $S$3:$S$44)</f>
        <v>75000</v>
      </c>
      <c r="K114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4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1.00127333333333</v>
      </c>
    </row>
    <row r="115" customFormat="false" ht="15" hidden="false" customHeight="false" outlineLevel="0" collapsed="false">
      <c r="A115" s="1" t="n">
        <v>10</v>
      </c>
      <c r="B115" s="1" t="n">
        <v>7</v>
      </c>
      <c r="C115" s="1" t="s">
        <v>15</v>
      </c>
      <c r="D115" s="1" t="n">
        <v>0.2492</v>
      </c>
      <c r="E115" s="1" t="n">
        <v>0.03887</v>
      </c>
      <c r="F115" s="1" t="n">
        <v>38.87</v>
      </c>
      <c r="G115" s="1" t="n">
        <v>199926</v>
      </c>
      <c r="H115" s="1" t="n">
        <v>150095.5</v>
      </c>
      <c r="I115" s="1" t="n">
        <f aca="false">MIN(H$113:H$115)</f>
        <v>150095.5</v>
      </c>
      <c r="J115" s="1" t="n">
        <f aca="false" t="array" ref="J115:J115">_xlfn.XLOOKUP(1, ($Q$3:$Q$44=B115) * ($R$3:$R$44=A115), $S$3:$S$44)</f>
        <v>75000</v>
      </c>
      <c r="K11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1.00127333333333</v>
      </c>
    </row>
    <row r="116" customFormat="false" ht="15" hidden="false" customHeight="false" outlineLevel="0" collapsed="false">
      <c r="A116" s="1" t="n">
        <v>20</v>
      </c>
      <c r="B116" s="1" t="n">
        <v>7</v>
      </c>
      <c r="C116" s="1" t="s">
        <v>12</v>
      </c>
      <c r="D116" s="1" t="n">
        <v>0.4502</v>
      </c>
      <c r="E116" s="1" t="n">
        <v>0.11809</v>
      </c>
      <c r="F116" s="1" t="n">
        <v>118.09</v>
      </c>
      <c r="G116" s="1" t="n">
        <v>160228</v>
      </c>
      <c r="H116" s="1" t="n">
        <v>88090</v>
      </c>
      <c r="I116" s="1" t="n">
        <f aca="false">MIN(H$116:H$118)</f>
        <v>88090</v>
      </c>
      <c r="J116" s="1" t="n">
        <f aca="false" t="array" ref="J116:J116">_xlfn.XLOOKUP(1, ($Q$3:$Q$44=B116) * ($R$3:$R$44=A116), $S$3:$S$44)</f>
        <v>44000</v>
      </c>
      <c r="K11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1.00204545454545</v>
      </c>
    </row>
    <row r="117" customFormat="false" ht="15" hidden="false" customHeight="false" outlineLevel="0" collapsed="false">
      <c r="A117" s="1" t="n">
        <v>20</v>
      </c>
      <c r="B117" s="1" t="n">
        <v>7</v>
      </c>
      <c r="C117" s="1" t="s">
        <v>14</v>
      </c>
      <c r="D117" s="1" t="n">
        <v>0.4502</v>
      </c>
      <c r="E117" s="1" t="n">
        <v>0.0935</v>
      </c>
      <c r="F117" s="1" t="n">
        <v>93.5</v>
      </c>
      <c r="G117" s="1" t="n">
        <v>160228</v>
      </c>
      <c r="H117" s="1" t="n">
        <v>88090</v>
      </c>
      <c r="I117" s="1" t="n">
        <f aca="false">MIN(H$116:H$118)</f>
        <v>88090</v>
      </c>
      <c r="J117" s="1" t="n">
        <f aca="false" t="array" ref="J117:J117">_xlfn.XLOOKUP(1, ($Q$3:$Q$44=B117) * ($R$3:$R$44=A117), $S$3:$S$44)</f>
        <v>44000</v>
      </c>
      <c r="K117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7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1.00204545454545</v>
      </c>
    </row>
    <row r="118" customFormat="false" ht="15" hidden="false" customHeight="false" outlineLevel="0" collapsed="false">
      <c r="A118" s="1" t="n">
        <v>20</v>
      </c>
      <c r="B118" s="1" t="n">
        <v>7</v>
      </c>
      <c r="C118" s="1" t="s">
        <v>15</v>
      </c>
      <c r="D118" s="1" t="n">
        <v>0.4502</v>
      </c>
      <c r="E118" s="1" t="n">
        <v>34.08283</v>
      </c>
      <c r="F118" s="1" t="n">
        <v>34082.83</v>
      </c>
      <c r="G118" s="1" t="n">
        <v>160228</v>
      </c>
      <c r="H118" s="1" t="n">
        <v>88090</v>
      </c>
      <c r="I118" s="1" t="n">
        <f aca="false">MIN(H$116:H$118)</f>
        <v>88090</v>
      </c>
      <c r="J118" s="1" t="n">
        <f aca="false" t="array" ref="J118:J118">_xlfn.XLOOKUP(1, ($Q$3:$Q$44=B118) * ($R$3:$R$44=A118), $S$3:$S$44)</f>
        <v>44000</v>
      </c>
      <c r="K118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8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1.00204545454545</v>
      </c>
    </row>
    <row r="119" customFormat="false" ht="15" hidden="false" customHeight="false" outlineLevel="0" collapsed="false">
      <c r="A119" s="1" t="n">
        <v>30</v>
      </c>
      <c r="B119" s="1" t="n">
        <v>7</v>
      </c>
      <c r="C119" s="1" t="s">
        <v>12</v>
      </c>
      <c r="D119" s="1" t="n">
        <v>0.3174</v>
      </c>
      <c r="E119" s="1" t="n">
        <v>0.07031</v>
      </c>
      <c r="F119" s="1" t="n">
        <v>70.31</v>
      </c>
      <c r="G119" s="1" t="n">
        <v>219910</v>
      </c>
      <c r="H119" s="1" t="n">
        <v>150121</v>
      </c>
      <c r="I119" s="1" t="n">
        <f aca="false">MIN(H$119:H$121)</f>
        <v>150121</v>
      </c>
      <c r="J119" s="1" t="n">
        <f aca="false" t="array" ref="J119:J119">_xlfn.XLOOKUP(1, ($Q$3:$Q$44=B119) * ($R$3:$R$44=A119), $S$3:$S$44)</f>
        <v>75000</v>
      </c>
      <c r="K119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19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1.00161333333333</v>
      </c>
    </row>
    <row r="120" customFormat="false" ht="15" hidden="false" customHeight="false" outlineLevel="0" collapsed="false">
      <c r="A120" s="1" t="n">
        <v>30</v>
      </c>
      <c r="B120" s="1" t="n">
        <v>7</v>
      </c>
      <c r="C120" s="1" t="s">
        <v>14</v>
      </c>
      <c r="D120" s="1" t="n">
        <v>0.3174</v>
      </c>
      <c r="E120" s="1" t="n">
        <v>0.04521</v>
      </c>
      <c r="F120" s="1" t="n">
        <v>45.21</v>
      </c>
      <c r="G120" s="1" t="n">
        <v>219910</v>
      </c>
      <c r="H120" s="1" t="n">
        <v>150121</v>
      </c>
      <c r="I120" s="1" t="n">
        <f aca="false">MIN(H$119:H$121)</f>
        <v>150121</v>
      </c>
      <c r="J120" s="1" t="n">
        <f aca="false" t="array" ref="J120:J120">_xlfn.XLOOKUP(1, ($Q$3:$Q$44=B120) * ($R$3:$R$44=A120), $S$3:$S$44)</f>
        <v>75000</v>
      </c>
      <c r="K120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20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1.00161333333333</v>
      </c>
    </row>
    <row r="121" customFormat="false" ht="15" hidden="false" customHeight="false" outlineLevel="0" collapsed="false">
      <c r="A121" s="1" t="n">
        <v>30</v>
      </c>
      <c r="B121" s="1" t="n">
        <v>7</v>
      </c>
      <c r="C121" s="1" t="s">
        <v>15</v>
      </c>
      <c r="D121" s="1" t="n">
        <v>0.3174</v>
      </c>
      <c r="E121" s="1" t="n">
        <v>16904.45149</v>
      </c>
      <c r="F121" s="1" t="n">
        <v>16904451.49</v>
      </c>
      <c r="G121" s="1" t="n">
        <v>219910</v>
      </c>
      <c r="H121" s="1" t="n">
        <v>150121</v>
      </c>
      <c r="I121" s="1" t="n">
        <f aca="false">MIN(H$119:H$121)</f>
        <v>150121</v>
      </c>
      <c r="J121" s="1" t="n">
        <f aca="false" t="array" ref="J121:J121">_xlfn.XLOOKUP(1, ($Q$3:$Q$44=B121) * ($R$3:$R$44=A121), $S$3:$S$44)</f>
        <v>75000</v>
      </c>
      <c r="K121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21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1.00161333333333</v>
      </c>
    </row>
    <row r="122" customFormat="false" ht="15" hidden="false" customHeight="false" outlineLevel="0" collapsed="false">
      <c r="A122" s="1" t="n">
        <v>50</v>
      </c>
      <c r="B122" s="1" t="n">
        <v>7</v>
      </c>
      <c r="C122" s="1" t="s">
        <v>12</v>
      </c>
      <c r="D122" s="1" t="n">
        <v>0.3499</v>
      </c>
      <c r="E122" s="1" t="n">
        <v>0.07814</v>
      </c>
      <c r="F122" s="1" t="n">
        <v>78.14</v>
      </c>
      <c r="G122" s="1" t="n">
        <v>307973</v>
      </c>
      <c r="H122" s="1" t="n">
        <v>200201</v>
      </c>
      <c r="I122" s="1" t="n">
        <f aca="false">MIN(H$122:H$124)</f>
        <v>200201</v>
      </c>
      <c r="J122" s="1" t="n">
        <f aca="false" t="array" ref="J122:J122">_xlfn.XLOOKUP(1, ($Q$3:$Q$44=B122) * ($R$3:$R$44=A122), $S$3:$S$44)</f>
        <v>100000</v>
      </c>
      <c r="K122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22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1.00201</v>
      </c>
    </row>
    <row r="123" customFormat="false" ht="15" hidden="false" customHeight="false" outlineLevel="0" collapsed="false">
      <c r="A123" s="1" t="n">
        <v>50</v>
      </c>
      <c r="B123" s="1" t="n">
        <v>7</v>
      </c>
      <c r="C123" s="1" t="s">
        <v>14</v>
      </c>
      <c r="D123" s="1" t="n">
        <v>0.3499</v>
      </c>
      <c r="E123" s="1" t="n">
        <v>0.05888</v>
      </c>
      <c r="F123" s="1" t="n">
        <v>58.88</v>
      </c>
      <c r="G123" s="1" t="n">
        <v>307973</v>
      </c>
      <c r="H123" s="1" t="n">
        <v>200201</v>
      </c>
      <c r="I123" s="1" t="n">
        <f aca="false">MIN(H$122:H$124)</f>
        <v>200201</v>
      </c>
      <c r="J123" s="1" t="n">
        <f aca="false" t="array" ref="J123:J123">_xlfn.XLOOKUP(1, ($Q$3:$Q$44=B123) * ($R$3:$R$44=A123), $S$3:$S$44)</f>
        <v>100000</v>
      </c>
      <c r="K123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23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1.00201</v>
      </c>
    </row>
    <row r="124" customFormat="false" ht="15" hidden="false" customHeight="false" outlineLevel="0" collapsed="false">
      <c r="A124" s="1" t="n">
        <v>50</v>
      </c>
      <c r="B124" s="1" t="n">
        <v>7</v>
      </c>
      <c r="C124" s="1" t="s">
        <v>15</v>
      </c>
      <c r="D124" s="1" t="n">
        <v>0</v>
      </c>
      <c r="E124" s="1" t="n">
        <v>0</v>
      </c>
      <c r="F124" s="1" t="n">
        <v>0</v>
      </c>
      <c r="G124" s="1" t="n">
        <v>307973</v>
      </c>
      <c r="H124" s="1" t="n">
        <v>307973</v>
      </c>
      <c r="I124" s="1" t="n">
        <f aca="false">MIN(H$122:H$124)</f>
        <v>200201</v>
      </c>
      <c r="J124" s="1" t="n">
        <f aca="false" t="array" ref="J124:J124">_xlfn.XLOOKUP(1, ($Q$3:$Q$44=B124) * ($R$3:$R$44=A124), $S$3:$S$44)</f>
        <v>100000</v>
      </c>
      <c r="K124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124" s="7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</row>
    <row r="125" customFormat="false" ht="15" hidden="false" customHeight="false" outlineLevel="0" collapsed="false">
      <c r="A125" s="1" t="n">
        <v>100</v>
      </c>
      <c r="B125" s="1" t="n">
        <v>7</v>
      </c>
      <c r="C125" s="1" t="s">
        <v>12</v>
      </c>
      <c r="D125" s="1" t="n">
        <v>0.3266</v>
      </c>
      <c r="E125" s="1" t="n">
        <v>0.73028</v>
      </c>
      <c r="F125" s="1" t="n">
        <v>730.28</v>
      </c>
      <c r="G125" s="1" t="n">
        <v>445981</v>
      </c>
      <c r="H125" s="1" t="n">
        <v>300336</v>
      </c>
      <c r="I125" s="1" t="n">
        <f aca="false">MIN(H$125:H$127)</f>
        <v>300336</v>
      </c>
      <c r="J125" s="1" t="n">
        <f aca="false" t="array" ref="J125:J125">_xlfn.XLOOKUP(1, ($Q$3:$Q$44=B125) * ($R$3:$R$44=A125), $S$3:$S$44)</f>
        <v>150000</v>
      </c>
      <c r="K125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25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1.00224</v>
      </c>
    </row>
    <row r="126" customFormat="false" ht="15" hidden="false" customHeight="false" outlineLevel="0" collapsed="false">
      <c r="A126" s="1" t="n">
        <v>100</v>
      </c>
      <c r="B126" s="1" t="n">
        <v>7</v>
      </c>
      <c r="C126" s="1" t="s">
        <v>14</v>
      </c>
      <c r="D126" s="1" t="n">
        <v>0.3266</v>
      </c>
      <c r="E126" s="1" t="n">
        <v>1.0399</v>
      </c>
      <c r="F126" s="1" t="n">
        <v>1039.9</v>
      </c>
      <c r="G126" s="1" t="n">
        <v>445981</v>
      </c>
      <c r="H126" s="1" t="n">
        <v>300336</v>
      </c>
      <c r="I126" s="1" t="n">
        <f aca="false">MIN(H$125:H$127)</f>
        <v>300336</v>
      </c>
      <c r="J126" s="1" t="n">
        <f aca="false" t="array" ref="J126:J126">_xlfn.XLOOKUP(1, ($Q$3:$Q$44=B126) * ($R$3:$R$44=A126), $S$3:$S$44)</f>
        <v>150000</v>
      </c>
      <c r="K126" s="6" t="n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0</v>
      </c>
      <c r="L126" s="7" t="n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1.00224</v>
      </c>
    </row>
    <row r="127" customFormat="false" ht="15" hidden="false" customHeight="false" outlineLevel="0" collapsed="false">
      <c r="A127" s="1" t="n">
        <v>100</v>
      </c>
      <c r="B127" s="1" t="n">
        <v>7</v>
      </c>
      <c r="C127" s="1" t="s">
        <v>15</v>
      </c>
      <c r="D127" s="1" t="n">
        <v>0</v>
      </c>
      <c r="E127" s="1" t="n">
        <v>0</v>
      </c>
      <c r="F127" s="1" t="n">
        <v>0</v>
      </c>
      <c r="G127" s="1" t="n">
        <v>445981</v>
      </c>
      <c r="H127" s="1" t="n">
        <v>445981</v>
      </c>
      <c r="I127" s="1" t="n">
        <f aca="false">MIN(H$125:H$127)</f>
        <v>300336</v>
      </c>
      <c r="J127" s="1" t="n">
        <f aca="false" t="array" ref="J127:J127">_xlfn.XLOOKUP(1, ($Q$3:$Q$44=B127) * ($R$3:$R$44=A127), $S$3:$S$44)</f>
        <v>150000</v>
      </c>
      <c r="K127" s="6" t="str">
        <f aca="false">IF(OR(zbiorczy_raport_analizy[[#This Row],[Ilość zadań]]&lt;50,zbiorczy_raport_analizy[[#This Row],[Algorytm]]&lt;&gt;"DuLeung1989"), (zbiorczy_raport_analizy[[#This Row],[Cmax (µs)]]-zbiorczy_raport_analizy[[#This Row],[Du_leung_lower_bound]])/zbiorczy_raport_analizy[[#This Row],[Du_leung_lower_bound]], "Brak")</f>
        <v>Brak</v>
      </c>
      <c r="L127" s="12" t="str">
        <f aca="false">IF(OR(zbiorczy_raport_analizy[[#This Row],[Ilość zadań]]&lt;50,zbiorczy_raport_analizy[[#This Row],[Algorytm]]&lt;&gt;"DuLeung1989"), (zbiorczy_raport_analizy[[#This Row],[Cmax (µs)]]-zbiorczy_raport_analizy[[#This Row],[Calculeted_lower_bound]])/zbiorczy_raport_analizy[[#This Row],[Calculeted_lower_bound]], "Brak")</f>
        <v>Brak</v>
      </c>
    </row>
  </sheetData>
  <mergeCells count="1">
    <mergeCell ref="N5:N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J3" activeCellId="0" sqref="J3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0.85"/>
    <col collapsed="false" customWidth="true" hidden="false" outlineLevel="0" max="3" min="3" style="0" width="14.57"/>
    <col collapsed="false" customWidth="true" hidden="false" outlineLevel="0" max="5" min="5" style="0" width="12.29"/>
    <col collapsed="false" customWidth="true" hidden="false" outlineLevel="0" max="6" min="6" style="0" width="11"/>
    <col collapsed="false" customWidth="true" hidden="false" outlineLevel="0" max="7" min="7" style="0" width="16.29"/>
    <col collapsed="false" customWidth="true" hidden="false" outlineLevel="0" max="8" min="8" style="0" width="9"/>
    <col collapsed="false" customWidth="true" hidden="false" outlineLevel="0" max="10" min="10" style="0" width="10.71"/>
    <col collapsed="false" customWidth="true" hidden="false" outlineLevel="0" max="11" min="11" style="0" width="12.71"/>
  </cols>
  <sheetData>
    <row r="1" customFormat="false" ht="15" hidden="false" customHeight="false" outlineLevel="0" collapsed="false">
      <c r="A1" s="13" t="s">
        <v>1</v>
      </c>
      <c r="B1" s="14" t="s">
        <v>25</v>
      </c>
      <c r="C1" s="14" t="s">
        <v>26</v>
      </c>
      <c r="D1" s="14" t="s">
        <v>27</v>
      </c>
      <c r="E1" s="14" t="s">
        <v>28</v>
      </c>
      <c r="F1" s="15" t="s">
        <v>29</v>
      </c>
      <c r="G1" s="0" t="s">
        <v>30</v>
      </c>
    </row>
    <row r="2" customFormat="false" ht="15" hidden="false" customHeight="false" outlineLevel="0" collapsed="false">
      <c r="A2" s="16" t="n">
        <v>1</v>
      </c>
      <c r="B2" s="17" t="n">
        <v>5</v>
      </c>
      <c r="C2" s="17" t="s">
        <v>31</v>
      </c>
      <c r="D2" s="17" t="s">
        <v>32</v>
      </c>
      <c r="E2" s="17" t="n">
        <v>40000</v>
      </c>
      <c r="F2" s="18"/>
      <c r="G2" s="0" t="n">
        <f aca="false">IF(D2="Mono&amp;Dual",MIN(E2,F2)*2,MIN(E2,F2))</f>
        <v>40000</v>
      </c>
      <c r="J2" s="1" t="s">
        <v>0</v>
      </c>
      <c r="K2" s="1" t="s">
        <v>33</v>
      </c>
    </row>
    <row r="3" customFormat="false" ht="15" hidden="false" customHeight="false" outlineLevel="0" collapsed="false">
      <c r="A3" s="19" t="n">
        <v>1</v>
      </c>
      <c r="B3" s="20" t="n">
        <v>5</v>
      </c>
      <c r="C3" s="20" t="s">
        <v>34</v>
      </c>
      <c r="D3" s="20" t="s">
        <v>32</v>
      </c>
      <c r="E3" s="20" t="n">
        <v>40000</v>
      </c>
      <c r="F3" s="21"/>
      <c r="G3" s="0" t="n">
        <f aca="false">IF(D3="Mono&amp;Dual",MIN(E3,F3)*2,MIN(E3,F3))</f>
        <v>40000</v>
      </c>
      <c r="J3" s="1" t="n">
        <v>5</v>
      </c>
      <c r="K3" s="1" t="n">
        <f aca="false">SUMIFS(G:G,B:B,J3)/2</f>
        <v>190000</v>
      </c>
      <c r="L3" s="5"/>
      <c r="M3" s="5"/>
    </row>
    <row r="4" customFormat="false" ht="15" hidden="false" customHeight="false" outlineLevel="0" collapsed="false">
      <c r="A4" s="16" t="n">
        <v>1</v>
      </c>
      <c r="B4" s="17" t="n">
        <v>5</v>
      </c>
      <c r="C4" s="17" t="s">
        <v>35</v>
      </c>
      <c r="D4" s="17" t="s">
        <v>36</v>
      </c>
      <c r="E4" s="17"/>
      <c r="F4" s="18" t="n">
        <v>100000</v>
      </c>
      <c r="G4" s="0" t="n">
        <f aca="false">IF(D4="Mono&amp;Dual",MIN(E4,F4)*2,MIN(E4,F4))</f>
        <v>100000</v>
      </c>
      <c r="J4" s="1" t="n">
        <v>10</v>
      </c>
      <c r="K4" s="1" t="n">
        <f aca="false">SUMIFS(G:G,B:B,J4)/2</f>
        <v>250000</v>
      </c>
      <c r="L4" s="5"/>
      <c r="M4" s="5"/>
    </row>
    <row r="5" customFormat="false" ht="15" hidden="false" customHeight="false" outlineLevel="0" collapsed="false">
      <c r="A5" s="19" t="n">
        <v>1</v>
      </c>
      <c r="B5" s="20" t="n">
        <v>5</v>
      </c>
      <c r="C5" s="20" t="s">
        <v>37</v>
      </c>
      <c r="D5" s="20" t="s">
        <v>36</v>
      </c>
      <c r="E5" s="20"/>
      <c r="F5" s="21" t="n">
        <v>100000</v>
      </c>
      <c r="G5" s="0" t="n">
        <f aca="false">IF(D5="Mono&amp;Dual",MIN(E5,F5)*2,MIN(E5,F5))</f>
        <v>100000</v>
      </c>
      <c r="J5" s="1" t="n">
        <v>20</v>
      </c>
      <c r="K5" s="1" t="n">
        <f aca="false">SUMIFS(G:G,B:B,J5)/2</f>
        <v>100000</v>
      </c>
      <c r="L5" s="5"/>
      <c r="M5" s="5"/>
    </row>
    <row r="6" customFormat="false" ht="15" hidden="false" customHeight="false" outlineLevel="0" collapsed="false">
      <c r="A6" s="16" t="n">
        <v>1</v>
      </c>
      <c r="B6" s="17" t="n">
        <v>5</v>
      </c>
      <c r="C6" s="17" t="s">
        <v>38</v>
      </c>
      <c r="D6" s="17" t="s">
        <v>36</v>
      </c>
      <c r="E6" s="17"/>
      <c r="F6" s="18" t="n">
        <v>100000</v>
      </c>
      <c r="G6" s="0" t="n">
        <f aca="false">IF(D6="Mono&amp;Dual",MIN(E6,F6)*2,MIN(E6,F6))</f>
        <v>100000</v>
      </c>
      <c r="J6" s="1" t="n">
        <v>30</v>
      </c>
      <c r="K6" s="1" t="n">
        <f aca="false">SUMIFS(G:G,B:B,J6)/2</f>
        <v>375000</v>
      </c>
      <c r="L6" s="5"/>
      <c r="M6" s="5"/>
    </row>
    <row r="7" customFormat="false" ht="15" hidden="false" customHeight="false" outlineLevel="0" collapsed="false">
      <c r="A7" s="19" t="n">
        <v>1</v>
      </c>
      <c r="B7" s="20" t="n">
        <v>10</v>
      </c>
      <c r="C7" s="20" t="s">
        <v>39</v>
      </c>
      <c r="D7" s="20" t="s">
        <v>32</v>
      </c>
      <c r="E7" s="20" t="n">
        <v>30000</v>
      </c>
      <c r="F7" s="21"/>
      <c r="G7" s="0" t="n">
        <f aca="false">IF(D7="Mono&amp;Dual",MIN(E7,F7)*2,MIN(E7,F7))</f>
        <v>30000</v>
      </c>
      <c r="J7" s="1" t="n">
        <v>50</v>
      </c>
      <c r="K7" s="1" t="n">
        <f aca="false">SUMIFS(G:G,B:B,J7)/2</f>
        <v>550000</v>
      </c>
      <c r="L7" s="5"/>
      <c r="M7" s="5"/>
    </row>
    <row r="8" customFormat="false" ht="15" hidden="false" customHeight="false" outlineLevel="0" collapsed="false">
      <c r="A8" s="16" t="n">
        <v>1</v>
      </c>
      <c r="B8" s="17" t="n">
        <v>10</v>
      </c>
      <c r="C8" s="17" t="s">
        <v>40</v>
      </c>
      <c r="D8" s="17" t="s">
        <v>32</v>
      </c>
      <c r="E8" s="17" t="n">
        <v>30000</v>
      </c>
      <c r="F8" s="18"/>
      <c r="G8" s="0" t="n">
        <f aca="false">IF(D8="Mono&amp;Dual",MIN(E8,F8)*2,MIN(E8,F8))</f>
        <v>30000</v>
      </c>
      <c r="J8" s="1" t="n">
        <v>100</v>
      </c>
      <c r="K8" s="1" t="n">
        <f aca="false">SUMIFS(G:G,B:B,J8)/2</f>
        <v>290000</v>
      </c>
      <c r="L8" s="5"/>
      <c r="M8" s="5"/>
    </row>
    <row r="9" customFormat="false" ht="15" hidden="false" customHeight="false" outlineLevel="0" collapsed="false">
      <c r="A9" s="19" t="n">
        <v>1</v>
      </c>
      <c r="B9" s="20" t="n">
        <v>10</v>
      </c>
      <c r="C9" s="20" t="s">
        <v>41</v>
      </c>
      <c r="D9" s="20" t="s">
        <v>32</v>
      </c>
      <c r="E9" s="20" t="n">
        <v>30000</v>
      </c>
      <c r="F9" s="21"/>
      <c r="G9" s="0" t="n">
        <f aca="false">IF(D9="Mono&amp;Dual",MIN(E9,F9)*2,MIN(E9,F9))</f>
        <v>30000</v>
      </c>
      <c r="J9" s="5"/>
      <c r="K9" s="5"/>
      <c r="L9" s="5"/>
      <c r="M9" s="5"/>
    </row>
    <row r="10" customFormat="false" ht="15" hidden="false" customHeight="false" outlineLevel="0" collapsed="false">
      <c r="A10" s="16" t="n">
        <v>1</v>
      </c>
      <c r="B10" s="17" t="n">
        <v>10</v>
      </c>
      <c r="C10" s="17" t="s">
        <v>42</v>
      </c>
      <c r="D10" s="17" t="s">
        <v>32</v>
      </c>
      <c r="E10" s="17" t="n">
        <v>30000</v>
      </c>
      <c r="F10" s="18"/>
      <c r="G10" s="0" t="n">
        <f aca="false">IF(D10="Mono&amp;Dual",MIN(E10,F10)*2,MIN(E10,F10))</f>
        <v>30000</v>
      </c>
    </row>
    <row r="11" customFormat="false" ht="15" hidden="false" customHeight="false" outlineLevel="0" collapsed="false">
      <c r="A11" s="19" t="n">
        <v>1</v>
      </c>
      <c r="B11" s="20" t="n">
        <v>10</v>
      </c>
      <c r="C11" s="20" t="s">
        <v>43</v>
      </c>
      <c r="D11" s="20" t="s">
        <v>32</v>
      </c>
      <c r="E11" s="20" t="n">
        <v>30000</v>
      </c>
      <c r="F11" s="21"/>
      <c r="G11" s="0" t="n">
        <f aca="false">IF(D11="Mono&amp;Dual",MIN(E11,F11)*2,MIN(E11,F11))</f>
        <v>30000</v>
      </c>
    </row>
    <row r="12" customFormat="false" ht="15" hidden="false" customHeight="false" outlineLevel="0" collapsed="false">
      <c r="A12" s="16" t="n">
        <v>1</v>
      </c>
      <c r="B12" s="17" t="n">
        <v>10</v>
      </c>
      <c r="C12" s="17" t="s">
        <v>44</v>
      </c>
      <c r="D12" s="17" t="s">
        <v>32</v>
      </c>
      <c r="E12" s="17" t="n">
        <v>30000</v>
      </c>
      <c r="F12" s="18"/>
      <c r="G12" s="0" t="n">
        <f aca="false">IF(D12="Mono&amp;Dual",MIN(E12,F12)*2,MIN(E12,F12))</f>
        <v>30000</v>
      </c>
    </row>
    <row r="13" customFormat="false" ht="15" hidden="false" customHeight="false" outlineLevel="0" collapsed="false">
      <c r="A13" s="19" t="n">
        <v>1</v>
      </c>
      <c r="B13" s="20" t="n">
        <v>10</v>
      </c>
      <c r="C13" s="20" t="s">
        <v>35</v>
      </c>
      <c r="D13" s="20" t="s">
        <v>36</v>
      </c>
      <c r="E13" s="20"/>
      <c r="F13" s="21" t="n">
        <v>80000</v>
      </c>
      <c r="G13" s="0" t="n">
        <f aca="false">IF(D13="Mono&amp;Dual",MIN(E13,F13)*2,MIN(E13,F13))</f>
        <v>80000</v>
      </c>
    </row>
    <row r="14" customFormat="false" ht="15" hidden="false" customHeight="false" outlineLevel="0" collapsed="false">
      <c r="A14" s="16" t="n">
        <v>1</v>
      </c>
      <c r="B14" s="17" t="n">
        <v>10</v>
      </c>
      <c r="C14" s="17" t="s">
        <v>37</v>
      </c>
      <c r="D14" s="17" t="s">
        <v>36</v>
      </c>
      <c r="E14" s="17"/>
      <c r="F14" s="18" t="n">
        <v>80000</v>
      </c>
      <c r="G14" s="0" t="n">
        <f aca="false">IF(D14="Mono&amp;Dual",MIN(E14,F14)*2,MIN(E14,F14))</f>
        <v>80000</v>
      </c>
    </row>
    <row r="15" customFormat="false" ht="15" hidden="false" customHeight="false" outlineLevel="0" collapsed="false">
      <c r="A15" s="19" t="n">
        <v>1</v>
      </c>
      <c r="B15" s="20" t="n">
        <v>10</v>
      </c>
      <c r="C15" s="20" t="s">
        <v>38</v>
      </c>
      <c r="D15" s="20" t="s">
        <v>36</v>
      </c>
      <c r="E15" s="20"/>
      <c r="F15" s="21" t="n">
        <v>80000</v>
      </c>
      <c r="G15" s="0" t="n">
        <f aca="false">IF(D15="Mono&amp;Dual",MIN(E15,F15)*2,MIN(E15,F15))</f>
        <v>80000</v>
      </c>
    </row>
    <row r="16" customFormat="false" ht="15" hidden="false" customHeight="false" outlineLevel="0" collapsed="false">
      <c r="A16" s="16" t="n">
        <v>1</v>
      </c>
      <c r="B16" s="17" t="n">
        <v>10</v>
      </c>
      <c r="C16" s="17" t="s">
        <v>45</v>
      </c>
      <c r="D16" s="17" t="s">
        <v>36</v>
      </c>
      <c r="E16" s="17"/>
      <c r="F16" s="18" t="n">
        <v>80000</v>
      </c>
      <c r="G16" s="0" t="n">
        <f aca="false">IF(D16="Mono&amp;Dual",MIN(E16,F16)*2,MIN(E16,F16))</f>
        <v>80000</v>
      </c>
    </row>
    <row r="17" customFormat="false" ht="15" hidden="false" customHeight="false" outlineLevel="0" collapsed="false">
      <c r="A17" s="19" t="n">
        <v>1</v>
      </c>
      <c r="B17" s="20" t="n">
        <v>20</v>
      </c>
      <c r="C17" s="20" t="s">
        <v>39</v>
      </c>
      <c r="D17" s="20" t="s">
        <v>32</v>
      </c>
      <c r="E17" s="20" t="n">
        <v>10000</v>
      </c>
      <c r="F17" s="21"/>
      <c r="G17" s="0" t="n">
        <f aca="false">IF(D17="Mono&amp;Dual",MIN(E17,F17)*2,MIN(E17,F17))</f>
        <v>10000</v>
      </c>
    </row>
    <row r="18" customFormat="false" ht="15" hidden="false" customHeight="false" outlineLevel="0" collapsed="false">
      <c r="A18" s="16" t="n">
        <v>1</v>
      </c>
      <c r="B18" s="17" t="n">
        <v>20</v>
      </c>
      <c r="C18" s="17" t="s">
        <v>40</v>
      </c>
      <c r="D18" s="17" t="s">
        <v>32</v>
      </c>
      <c r="E18" s="17" t="n">
        <v>10000</v>
      </c>
      <c r="F18" s="18"/>
      <c r="G18" s="0" t="n">
        <f aca="false">IF(D18="Mono&amp;Dual",MIN(E18,F18)*2,MIN(E18,F18))</f>
        <v>10000</v>
      </c>
    </row>
    <row r="19" customFormat="false" ht="15" hidden="false" customHeight="false" outlineLevel="0" collapsed="false">
      <c r="A19" s="19" t="n">
        <v>1</v>
      </c>
      <c r="B19" s="20" t="n">
        <v>20</v>
      </c>
      <c r="C19" s="20" t="s">
        <v>41</v>
      </c>
      <c r="D19" s="20" t="s">
        <v>32</v>
      </c>
      <c r="E19" s="20" t="n">
        <v>10000</v>
      </c>
      <c r="F19" s="21"/>
      <c r="G19" s="0" t="n">
        <f aca="false">IF(D19="Mono&amp;Dual",MIN(E19,F19)*2,MIN(E19,F19))</f>
        <v>10000</v>
      </c>
    </row>
    <row r="20" customFormat="false" ht="15" hidden="false" customHeight="false" outlineLevel="0" collapsed="false">
      <c r="A20" s="16" t="n">
        <v>1</v>
      </c>
      <c r="B20" s="17" t="n">
        <v>20</v>
      </c>
      <c r="C20" s="17" t="s">
        <v>46</v>
      </c>
      <c r="D20" s="17" t="s">
        <v>32</v>
      </c>
      <c r="E20" s="17" t="n">
        <v>10000</v>
      </c>
      <c r="F20" s="18"/>
      <c r="G20" s="0" t="n">
        <f aca="false">IF(D20="Mono&amp;Dual",MIN(E20,F20)*2,MIN(E20,F20))</f>
        <v>10000</v>
      </c>
    </row>
    <row r="21" customFormat="false" ht="15" hidden="false" customHeight="false" outlineLevel="0" collapsed="false">
      <c r="A21" s="19" t="n">
        <v>1</v>
      </c>
      <c r="B21" s="20" t="n">
        <v>20</v>
      </c>
      <c r="C21" s="20" t="s">
        <v>47</v>
      </c>
      <c r="D21" s="20" t="s">
        <v>32</v>
      </c>
      <c r="E21" s="20" t="n">
        <v>10000</v>
      </c>
      <c r="F21" s="21"/>
      <c r="G21" s="0" t="n">
        <f aca="false">IF(D21="Mono&amp;Dual",MIN(E21,F21)*2,MIN(E21,F21))</f>
        <v>10000</v>
      </c>
    </row>
    <row r="22" customFormat="false" ht="15" hidden="false" customHeight="false" outlineLevel="0" collapsed="false">
      <c r="A22" s="16" t="n">
        <v>1</v>
      </c>
      <c r="B22" s="17" t="n">
        <v>20</v>
      </c>
      <c r="C22" s="17" t="s">
        <v>48</v>
      </c>
      <c r="D22" s="17" t="s">
        <v>32</v>
      </c>
      <c r="E22" s="17" t="n">
        <v>10000</v>
      </c>
      <c r="F22" s="18"/>
      <c r="G22" s="0" t="n">
        <f aca="false">IF(D22="Mono&amp;Dual",MIN(E22,F22)*2,MIN(E22,F22))</f>
        <v>10000</v>
      </c>
    </row>
    <row r="23" customFormat="false" ht="15" hidden="false" customHeight="false" outlineLevel="0" collapsed="false">
      <c r="A23" s="19" t="n">
        <v>1</v>
      </c>
      <c r="B23" s="20" t="n">
        <v>20</v>
      </c>
      <c r="C23" s="20" t="s">
        <v>49</v>
      </c>
      <c r="D23" s="20" t="s">
        <v>32</v>
      </c>
      <c r="E23" s="20" t="n">
        <v>10000</v>
      </c>
      <c r="F23" s="21"/>
      <c r="G23" s="0" t="n">
        <f aca="false">IF(D23="Mono&amp;Dual",MIN(E23,F23)*2,MIN(E23,F23))</f>
        <v>10000</v>
      </c>
    </row>
    <row r="24" customFormat="false" ht="15" hidden="false" customHeight="false" outlineLevel="0" collapsed="false">
      <c r="A24" s="16" t="n">
        <v>1</v>
      </c>
      <c r="B24" s="17" t="n">
        <v>20</v>
      </c>
      <c r="C24" s="17" t="s">
        <v>50</v>
      </c>
      <c r="D24" s="17" t="s">
        <v>32</v>
      </c>
      <c r="E24" s="17" t="n">
        <v>10000</v>
      </c>
      <c r="F24" s="18"/>
      <c r="G24" s="0" t="n">
        <f aca="false">IF(D24="Mono&amp;Dual",MIN(E24,F24)*2,MIN(E24,F24))</f>
        <v>10000</v>
      </c>
    </row>
    <row r="25" customFormat="false" ht="15" hidden="false" customHeight="false" outlineLevel="0" collapsed="false">
      <c r="A25" s="19" t="n">
        <v>1</v>
      </c>
      <c r="B25" s="20" t="n">
        <v>20</v>
      </c>
      <c r="C25" s="20" t="s">
        <v>51</v>
      </c>
      <c r="D25" s="20" t="s">
        <v>32</v>
      </c>
      <c r="E25" s="20" t="n">
        <v>10000</v>
      </c>
      <c r="F25" s="21"/>
      <c r="G25" s="0" t="n">
        <f aca="false">IF(D25="Mono&amp;Dual",MIN(E25,F25)*2,MIN(E25,F25))</f>
        <v>10000</v>
      </c>
    </row>
    <row r="26" customFormat="false" ht="15" hidden="false" customHeight="false" outlineLevel="0" collapsed="false">
      <c r="A26" s="16" t="n">
        <v>1</v>
      </c>
      <c r="B26" s="17" t="n">
        <v>20</v>
      </c>
      <c r="C26" s="17" t="s">
        <v>52</v>
      </c>
      <c r="D26" s="17" t="s">
        <v>32</v>
      </c>
      <c r="E26" s="17" t="n">
        <v>10000</v>
      </c>
      <c r="F26" s="18"/>
      <c r="G26" s="0" t="n">
        <f aca="false">IF(D26="Mono&amp;Dual",MIN(E26,F26)*2,MIN(E26,F26))</f>
        <v>10000</v>
      </c>
    </row>
    <row r="27" customFormat="false" ht="15" hidden="false" customHeight="false" outlineLevel="0" collapsed="false">
      <c r="A27" s="19" t="n">
        <v>1</v>
      </c>
      <c r="B27" s="20" t="n">
        <v>20</v>
      </c>
      <c r="C27" s="20" t="s">
        <v>42</v>
      </c>
      <c r="D27" s="20" t="s">
        <v>32</v>
      </c>
      <c r="E27" s="20" t="n">
        <v>10000</v>
      </c>
      <c r="F27" s="21"/>
      <c r="G27" s="0" t="n">
        <f aca="false">IF(D27="Mono&amp;Dual",MIN(E27,F27)*2,MIN(E27,F27))</f>
        <v>10000</v>
      </c>
    </row>
    <row r="28" customFormat="false" ht="15" hidden="false" customHeight="false" outlineLevel="0" collapsed="false">
      <c r="A28" s="16" t="n">
        <v>1</v>
      </c>
      <c r="B28" s="17" t="n">
        <v>20</v>
      </c>
      <c r="C28" s="17" t="s">
        <v>43</v>
      </c>
      <c r="D28" s="17" t="s">
        <v>32</v>
      </c>
      <c r="E28" s="17" t="n">
        <v>10000</v>
      </c>
      <c r="F28" s="18"/>
      <c r="G28" s="0" t="n">
        <f aca="false">IF(D28="Mono&amp;Dual",MIN(E28,F28)*2,MIN(E28,F28))</f>
        <v>10000</v>
      </c>
    </row>
    <row r="29" customFormat="false" ht="15" hidden="false" customHeight="false" outlineLevel="0" collapsed="false">
      <c r="A29" s="19" t="n">
        <v>1</v>
      </c>
      <c r="B29" s="20" t="n">
        <v>20</v>
      </c>
      <c r="C29" s="20" t="s">
        <v>44</v>
      </c>
      <c r="D29" s="20" t="s">
        <v>32</v>
      </c>
      <c r="E29" s="20" t="n">
        <v>10000</v>
      </c>
      <c r="F29" s="21"/>
      <c r="G29" s="0" t="n">
        <f aca="false">IF(D29="Mono&amp;Dual",MIN(E29,F29)*2,MIN(E29,F29))</f>
        <v>10000</v>
      </c>
    </row>
    <row r="30" customFormat="false" ht="15" hidden="false" customHeight="false" outlineLevel="0" collapsed="false">
      <c r="A30" s="16" t="n">
        <v>1</v>
      </c>
      <c r="B30" s="17" t="n">
        <v>20</v>
      </c>
      <c r="C30" s="17" t="s">
        <v>53</v>
      </c>
      <c r="D30" s="17" t="s">
        <v>32</v>
      </c>
      <c r="E30" s="17" t="n">
        <v>10000</v>
      </c>
      <c r="F30" s="18"/>
      <c r="G30" s="0" t="n">
        <f aca="false">IF(D30="Mono&amp;Dual",MIN(E30,F30)*2,MIN(E30,F30))</f>
        <v>10000</v>
      </c>
    </row>
    <row r="31" customFormat="false" ht="15" hidden="false" customHeight="false" outlineLevel="0" collapsed="false">
      <c r="A31" s="19" t="n">
        <v>1</v>
      </c>
      <c r="B31" s="20" t="n">
        <v>20</v>
      </c>
      <c r="C31" s="20" t="s">
        <v>54</v>
      </c>
      <c r="D31" s="20" t="s">
        <v>32</v>
      </c>
      <c r="E31" s="20" t="n">
        <v>10000</v>
      </c>
      <c r="F31" s="21"/>
      <c r="G31" s="0" t="n">
        <f aca="false">IF(D31="Mono&amp;Dual",MIN(E31,F31)*2,MIN(E31,F31))</f>
        <v>10000</v>
      </c>
    </row>
    <row r="32" customFormat="false" ht="15" hidden="false" customHeight="false" outlineLevel="0" collapsed="false">
      <c r="A32" s="16" t="n">
        <v>1</v>
      </c>
      <c r="B32" s="17" t="n">
        <v>20</v>
      </c>
      <c r="C32" s="17" t="s">
        <v>55</v>
      </c>
      <c r="D32" s="17" t="s">
        <v>32</v>
      </c>
      <c r="E32" s="17" t="n">
        <v>10000</v>
      </c>
      <c r="F32" s="18"/>
      <c r="G32" s="0" t="n">
        <f aca="false">IF(D32="Mono&amp;Dual",MIN(E32,F32)*2,MIN(E32,F32))</f>
        <v>10000</v>
      </c>
    </row>
    <row r="33" customFormat="false" ht="15" hidden="false" customHeight="false" outlineLevel="0" collapsed="false">
      <c r="A33" s="19" t="n">
        <v>1</v>
      </c>
      <c r="B33" s="20" t="n">
        <v>20</v>
      </c>
      <c r="C33" s="20" t="s">
        <v>56</v>
      </c>
      <c r="D33" s="20" t="s">
        <v>32</v>
      </c>
      <c r="E33" s="20" t="n">
        <v>10000</v>
      </c>
      <c r="F33" s="21"/>
      <c r="G33" s="0" t="n">
        <f aca="false">IF(D33="Mono&amp;Dual",MIN(E33,F33)*2,MIN(E33,F33))</f>
        <v>10000</v>
      </c>
    </row>
    <row r="34" customFormat="false" ht="15" hidden="false" customHeight="false" outlineLevel="0" collapsed="false">
      <c r="A34" s="16" t="n">
        <v>1</v>
      </c>
      <c r="B34" s="17" t="n">
        <v>20</v>
      </c>
      <c r="C34" s="17" t="s">
        <v>57</v>
      </c>
      <c r="D34" s="17" t="s">
        <v>32</v>
      </c>
      <c r="E34" s="17" t="n">
        <v>10000</v>
      </c>
      <c r="F34" s="18"/>
      <c r="G34" s="0" t="n">
        <f aca="false">IF(D34="Mono&amp;Dual",MIN(E34,F34)*2,MIN(E34,F34))</f>
        <v>10000</v>
      </c>
    </row>
    <row r="35" customFormat="false" ht="15" hidden="false" customHeight="false" outlineLevel="0" collapsed="false">
      <c r="A35" s="19" t="n">
        <v>1</v>
      </c>
      <c r="B35" s="20" t="n">
        <v>20</v>
      </c>
      <c r="C35" s="20" t="s">
        <v>58</v>
      </c>
      <c r="D35" s="20" t="s">
        <v>32</v>
      </c>
      <c r="E35" s="20" t="n">
        <v>10000</v>
      </c>
      <c r="F35" s="21"/>
      <c r="G35" s="0" t="n">
        <f aca="false">IF(D35="Mono&amp;Dual",MIN(E35,F35)*2,MIN(E35,F35))</f>
        <v>10000</v>
      </c>
    </row>
    <row r="36" customFormat="false" ht="15" hidden="false" customHeight="false" outlineLevel="0" collapsed="false">
      <c r="A36" s="16" t="n">
        <v>1</v>
      </c>
      <c r="B36" s="17" t="n">
        <v>20</v>
      </c>
      <c r="C36" s="17" t="s">
        <v>59</v>
      </c>
      <c r="D36" s="17" t="s">
        <v>32</v>
      </c>
      <c r="E36" s="17" t="n">
        <v>10000</v>
      </c>
      <c r="F36" s="18"/>
      <c r="G36" s="0" t="n">
        <f aca="false">IF(D36="Mono&amp;Dual",MIN(E36,F36)*2,MIN(E36,F36))</f>
        <v>10000</v>
      </c>
    </row>
    <row r="37" customFormat="false" ht="15" hidden="false" customHeight="false" outlineLevel="0" collapsed="false">
      <c r="A37" s="19" t="n">
        <v>1</v>
      </c>
      <c r="B37" s="20" t="n">
        <v>30</v>
      </c>
      <c r="C37" s="20" t="s">
        <v>60</v>
      </c>
      <c r="D37" s="20" t="s">
        <v>32</v>
      </c>
      <c r="E37" s="20" t="n">
        <v>15000</v>
      </c>
      <c r="F37" s="21"/>
      <c r="G37" s="0" t="n">
        <f aca="false">IF(D37="Mono&amp;Dual",MIN(E37,F37)*2,MIN(E37,F37))</f>
        <v>15000</v>
      </c>
    </row>
    <row r="38" customFormat="false" ht="15" hidden="false" customHeight="false" outlineLevel="0" collapsed="false">
      <c r="A38" s="16" t="n">
        <v>1</v>
      </c>
      <c r="B38" s="17" t="n">
        <v>30</v>
      </c>
      <c r="C38" s="17" t="s">
        <v>61</v>
      </c>
      <c r="D38" s="17" t="s">
        <v>32</v>
      </c>
      <c r="E38" s="17" t="n">
        <v>15000</v>
      </c>
      <c r="F38" s="18"/>
      <c r="G38" s="0" t="n">
        <f aca="false">IF(D38="Mono&amp;Dual",MIN(E38,F38)*2,MIN(E38,F38))</f>
        <v>15000</v>
      </c>
    </row>
    <row r="39" customFormat="false" ht="15" hidden="false" customHeight="false" outlineLevel="0" collapsed="false">
      <c r="A39" s="19" t="n">
        <v>1</v>
      </c>
      <c r="B39" s="20" t="n">
        <v>30</v>
      </c>
      <c r="C39" s="20" t="s">
        <v>62</v>
      </c>
      <c r="D39" s="20" t="s">
        <v>32</v>
      </c>
      <c r="E39" s="20" t="n">
        <v>15000</v>
      </c>
      <c r="F39" s="21"/>
      <c r="G39" s="0" t="n">
        <f aca="false">IF(D39="Mono&amp;Dual",MIN(E39,F39)*2,MIN(E39,F39))</f>
        <v>15000</v>
      </c>
    </row>
    <row r="40" customFormat="false" ht="15" hidden="false" customHeight="false" outlineLevel="0" collapsed="false">
      <c r="A40" s="16" t="n">
        <v>1</v>
      </c>
      <c r="B40" s="17" t="n">
        <v>30</v>
      </c>
      <c r="C40" s="17" t="s">
        <v>63</v>
      </c>
      <c r="D40" s="17" t="s">
        <v>32</v>
      </c>
      <c r="E40" s="17" t="n">
        <v>15000</v>
      </c>
      <c r="F40" s="18"/>
      <c r="G40" s="0" t="n">
        <f aca="false">IF(D40="Mono&amp;Dual",MIN(E40,F40)*2,MIN(E40,F40))</f>
        <v>15000</v>
      </c>
    </row>
    <row r="41" customFormat="false" ht="15" hidden="false" customHeight="false" outlineLevel="0" collapsed="false">
      <c r="A41" s="19" t="n">
        <v>1</v>
      </c>
      <c r="B41" s="20" t="n">
        <v>30</v>
      </c>
      <c r="C41" s="20" t="s">
        <v>64</v>
      </c>
      <c r="D41" s="20" t="s">
        <v>32</v>
      </c>
      <c r="E41" s="20" t="n">
        <v>15000</v>
      </c>
      <c r="F41" s="21"/>
      <c r="G41" s="0" t="n">
        <f aca="false">IF(D41="Mono&amp;Dual",MIN(E41,F41)*2,MIN(E41,F41))</f>
        <v>15000</v>
      </c>
    </row>
    <row r="42" customFormat="false" ht="15" hidden="false" customHeight="false" outlineLevel="0" collapsed="false">
      <c r="A42" s="16" t="n">
        <v>1</v>
      </c>
      <c r="B42" s="17" t="n">
        <v>30</v>
      </c>
      <c r="C42" s="17" t="s">
        <v>65</v>
      </c>
      <c r="D42" s="17" t="s">
        <v>32</v>
      </c>
      <c r="E42" s="17" t="n">
        <v>15000</v>
      </c>
      <c r="F42" s="18"/>
      <c r="G42" s="0" t="n">
        <f aca="false">IF(D42="Mono&amp;Dual",MIN(E42,F42)*2,MIN(E42,F42))</f>
        <v>15000</v>
      </c>
    </row>
    <row r="43" customFormat="false" ht="15" hidden="false" customHeight="false" outlineLevel="0" collapsed="false">
      <c r="A43" s="19" t="n">
        <v>1</v>
      </c>
      <c r="B43" s="20" t="n">
        <v>30</v>
      </c>
      <c r="C43" s="20" t="s">
        <v>66</v>
      </c>
      <c r="D43" s="20" t="s">
        <v>32</v>
      </c>
      <c r="E43" s="20" t="n">
        <v>15000</v>
      </c>
      <c r="F43" s="21"/>
      <c r="G43" s="0" t="n">
        <f aca="false">IF(D43="Mono&amp;Dual",MIN(E43,F43)*2,MIN(E43,F43))</f>
        <v>15000</v>
      </c>
    </row>
    <row r="44" customFormat="false" ht="15" hidden="false" customHeight="false" outlineLevel="0" collapsed="false">
      <c r="A44" s="16" t="n">
        <v>1</v>
      </c>
      <c r="B44" s="17" t="n">
        <v>30</v>
      </c>
      <c r="C44" s="17" t="s">
        <v>67</v>
      </c>
      <c r="D44" s="17" t="s">
        <v>32</v>
      </c>
      <c r="E44" s="17" t="n">
        <v>15000</v>
      </c>
      <c r="F44" s="18"/>
      <c r="G44" s="0" t="n">
        <f aca="false">IF(D44="Mono&amp;Dual",MIN(E44,F44)*2,MIN(E44,F44))</f>
        <v>15000</v>
      </c>
    </row>
    <row r="45" customFormat="false" ht="15" hidden="false" customHeight="false" outlineLevel="0" collapsed="false">
      <c r="A45" s="19" t="n">
        <v>1</v>
      </c>
      <c r="B45" s="20" t="n">
        <v>30</v>
      </c>
      <c r="C45" s="20" t="s">
        <v>68</v>
      </c>
      <c r="D45" s="20" t="s">
        <v>32</v>
      </c>
      <c r="E45" s="20" t="n">
        <v>15000</v>
      </c>
      <c r="F45" s="21"/>
      <c r="G45" s="0" t="n">
        <f aca="false">IF(D45="Mono&amp;Dual",MIN(E45,F45)*2,MIN(E45,F45))</f>
        <v>15000</v>
      </c>
    </row>
    <row r="46" customFormat="false" ht="15" hidden="false" customHeight="false" outlineLevel="0" collapsed="false">
      <c r="A46" s="16" t="n">
        <v>1</v>
      </c>
      <c r="B46" s="17" t="n">
        <v>30</v>
      </c>
      <c r="C46" s="17" t="s">
        <v>69</v>
      </c>
      <c r="D46" s="17" t="s">
        <v>32</v>
      </c>
      <c r="E46" s="17" t="n">
        <v>15000</v>
      </c>
      <c r="F46" s="18"/>
      <c r="G46" s="0" t="n">
        <f aca="false">IF(D46="Mono&amp;Dual",MIN(E46,F46)*2,MIN(E46,F46))</f>
        <v>15000</v>
      </c>
    </row>
    <row r="47" customFormat="false" ht="15" hidden="false" customHeight="false" outlineLevel="0" collapsed="false">
      <c r="A47" s="19" t="n">
        <v>1</v>
      </c>
      <c r="B47" s="20" t="n">
        <v>30</v>
      </c>
      <c r="C47" s="20" t="s">
        <v>70</v>
      </c>
      <c r="D47" s="20" t="s">
        <v>32</v>
      </c>
      <c r="E47" s="20" t="n">
        <v>15000</v>
      </c>
      <c r="F47" s="21"/>
      <c r="G47" s="0" t="n">
        <f aca="false">IF(D47="Mono&amp;Dual",MIN(E47,F47)*2,MIN(E47,F47))</f>
        <v>15000</v>
      </c>
    </row>
    <row r="48" customFormat="false" ht="15" hidden="false" customHeight="false" outlineLevel="0" collapsed="false">
      <c r="A48" s="16" t="n">
        <v>1</v>
      </c>
      <c r="B48" s="17" t="n">
        <v>30</v>
      </c>
      <c r="C48" s="17" t="s">
        <v>71</v>
      </c>
      <c r="D48" s="17" t="s">
        <v>32</v>
      </c>
      <c r="E48" s="17" t="n">
        <v>15000</v>
      </c>
      <c r="F48" s="18"/>
      <c r="G48" s="0" t="n">
        <f aca="false">IF(D48="Mono&amp;Dual",MIN(E48,F48)*2,MIN(E48,F48))</f>
        <v>15000</v>
      </c>
    </row>
    <row r="49" customFormat="false" ht="15" hidden="false" customHeight="false" outlineLevel="0" collapsed="false">
      <c r="A49" s="19" t="n">
        <v>1</v>
      </c>
      <c r="B49" s="20" t="n">
        <v>30</v>
      </c>
      <c r="C49" s="20" t="s">
        <v>72</v>
      </c>
      <c r="D49" s="20" t="s">
        <v>32</v>
      </c>
      <c r="E49" s="20" t="n">
        <v>15000</v>
      </c>
      <c r="F49" s="21"/>
      <c r="G49" s="0" t="n">
        <f aca="false">IF(D49="Mono&amp;Dual",MIN(E49,F49)*2,MIN(E49,F49))</f>
        <v>15000</v>
      </c>
    </row>
    <row r="50" customFormat="false" ht="15" hidden="false" customHeight="false" outlineLevel="0" collapsed="false">
      <c r="A50" s="16" t="n">
        <v>1</v>
      </c>
      <c r="B50" s="17" t="n">
        <v>30</v>
      </c>
      <c r="C50" s="17" t="s">
        <v>73</v>
      </c>
      <c r="D50" s="17" t="s">
        <v>32</v>
      </c>
      <c r="E50" s="17" t="n">
        <v>15000</v>
      </c>
      <c r="F50" s="18"/>
      <c r="G50" s="0" t="n">
        <f aca="false">IF(D50="Mono&amp;Dual",MIN(E50,F50)*2,MIN(E50,F50))</f>
        <v>15000</v>
      </c>
    </row>
    <row r="51" customFormat="false" ht="15" hidden="false" customHeight="false" outlineLevel="0" collapsed="false">
      <c r="A51" s="19" t="n">
        <v>1</v>
      </c>
      <c r="B51" s="20" t="n">
        <v>30</v>
      </c>
      <c r="C51" s="20" t="s">
        <v>74</v>
      </c>
      <c r="D51" s="20" t="s">
        <v>32</v>
      </c>
      <c r="E51" s="20" t="n">
        <v>15000</v>
      </c>
      <c r="F51" s="21"/>
      <c r="G51" s="0" t="n">
        <f aca="false">IF(D51="Mono&amp;Dual",MIN(E51,F51)*2,MIN(E51,F51))</f>
        <v>15000</v>
      </c>
    </row>
    <row r="52" customFormat="false" ht="15" hidden="false" customHeight="false" outlineLevel="0" collapsed="false">
      <c r="A52" s="16" t="n">
        <v>1</v>
      </c>
      <c r="B52" s="17" t="n">
        <v>30</v>
      </c>
      <c r="C52" s="17" t="s">
        <v>75</v>
      </c>
      <c r="D52" s="17" t="s">
        <v>32</v>
      </c>
      <c r="E52" s="17" t="n">
        <v>15000</v>
      </c>
      <c r="F52" s="18"/>
      <c r="G52" s="0" t="n">
        <f aca="false">IF(D52="Mono&amp;Dual",MIN(E52,F52)*2,MIN(E52,F52))</f>
        <v>15000</v>
      </c>
    </row>
    <row r="53" customFormat="false" ht="15" hidden="false" customHeight="false" outlineLevel="0" collapsed="false">
      <c r="A53" s="19" t="n">
        <v>1</v>
      </c>
      <c r="B53" s="20" t="n">
        <v>30</v>
      </c>
      <c r="C53" s="20" t="s">
        <v>76</v>
      </c>
      <c r="D53" s="20" t="s">
        <v>32</v>
      </c>
      <c r="E53" s="20" t="n">
        <v>15000</v>
      </c>
      <c r="F53" s="21"/>
      <c r="G53" s="0" t="n">
        <f aca="false">IF(D53="Mono&amp;Dual",MIN(E53,F53)*2,MIN(E53,F53))</f>
        <v>15000</v>
      </c>
    </row>
    <row r="54" customFormat="false" ht="15" hidden="false" customHeight="false" outlineLevel="0" collapsed="false">
      <c r="A54" s="16" t="n">
        <v>1</v>
      </c>
      <c r="B54" s="17" t="n">
        <v>30</v>
      </c>
      <c r="C54" s="17" t="s">
        <v>77</v>
      </c>
      <c r="D54" s="17" t="s">
        <v>32</v>
      </c>
      <c r="E54" s="17" t="n">
        <v>15000</v>
      </c>
      <c r="F54" s="18"/>
      <c r="G54" s="0" t="n">
        <f aca="false">IF(D54="Mono&amp;Dual",MIN(E54,F54)*2,MIN(E54,F54))</f>
        <v>15000</v>
      </c>
    </row>
    <row r="55" customFormat="false" ht="15" hidden="false" customHeight="false" outlineLevel="0" collapsed="false">
      <c r="A55" s="19" t="n">
        <v>1</v>
      </c>
      <c r="B55" s="20" t="n">
        <v>30</v>
      </c>
      <c r="C55" s="20" t="s">
        <v>78</v>
      </c>
      <c r="D55" s="20" t="s">
        <v>36</v>
      </c>
      <c r="E55" s="20"/>
      <c r="F55" s="21" t="n">
        <v>40000</v>
      </c>
      <c r="G55" s="0" t="n">
        <f aca="false">IF(D55="Mono&amp;Dual",MIN(E55,F55)*2,MIN(E55,F55))</f>
        <v>40000</v>
      </c>
    </row>
    <row r="56" customFormat="false" ht="15" hidden="false" customHeight="false" outlineLevel="0" collapsed="false">
      <c r="A56" s="16" t="n">
        <v>1</v>
      </c>
      <c r="B56" s="17" t="n">
        <v>30</v>
      </c>
      <c r="C56" s="17" t="s">
        <v>79</v>
      </c>
      <c r="D56" s="17" t="s">
        <v>36</v>
      </c>
      <c r="E56" s="17"/>
      <c r="F56" s="18" t="n">
        <v>40000</v>
      </c>
      <c r="G56" s="0" t="n">
        <f aca="false">IF(D56="Mono&amp;Dual",MIN(E56,F56)*2,MIN(E56,F56))</f>
        <v>40000</v>
      </c>
    </row>
    <row r="57" customFormat="false" ht="15" hidden="false" customHeight="false" outlineLevel="0" collapsed="false">
      <c r="A57" s="19" t="n">
        <v>1</v>
      </c>
      <c r="B57" s="20" t="n">
        <v>30</v>
      </c>
      <c r="C57" s="20" t="s">
        <v>80</v>
      </c>
      <c r="D57" s="20" t="s">
        <v>36</v>
      </c>
      <c r="E57" s="20"/>
      <c r="F57" s="21" t="n">
        <v>40000</v>
      </c>
      <c r="G57" s="0" t="n">
        <f aca="false">IF(D57="Mono&amp;Dual",MIN(E57,F57)*2,MIN(E57,F57))</f>
        <v>40000</v>
      </c>
    </row>
    <row r="58" customFormat="false" ht="15" hidden="false" customHeight="false" outlineLevel="0" collapsed="false">
      <c r="A58" s="16" t="n">
        <v>1</v>
      </c>
      <c r="B58" s="17" t="n">
        <v>30</v>
      </c>
      <c r="C58" s="17" t="s">
        <v>81</v>
      </c>
      <c r="D58" s="17" t="s">
        <v>36</v>
      </c>
      <c r="E58" s="17"/>
      <c r="F58" s="18" t="n">
        <v>40000</v>
      </c>
      <c r="G58" s="0" t="n">
        <f aca="false">IF(D58="Mono&amp;Dual",MIN(E58,F58)*2,MIN(E58,F58))</f>
        <v>40000</v>
      </c>
    </row>
    <row r="59" customFormat="false" ht="15" hidden="false" customHeight="false" outlineLevel="0" collapsed="false">
      <c r="A59" s="19" t="n">
        <v>1</v>
      </c>
      <c r="B59" s="20" t="n">
        <v>30</v>
      </c>
      <c r="C59" s="20" t="s">
        <v>82</v>
      </c>
      <c r="D59" s="20" t="s">
        <v>36</v>
      </c>
      <c r="E59" s="20"/>
      <c r="F59" s="21" t="n">
        <v>40000</v>
      </c>
      <c r="G59" s="0" t="n">
        <f aca="false">IF(D59="Mono&amp;Dual",MIN(E59,F59)*2,MIN(E59,F59))</f>
        <v>40000</v>
      </c>
    </row>
    <row r="60" customFormat="false" ht="15" hidden="false" customHeight="false" outlineLevel="0" collapsed="false">
      <c r="A60" s="16" t="n">
        <v>1</v>
      </c>
      <c r="B60" s="17" t="n">
        <v>30</v>
      </c>
      <c r="C60" s="17" t="s">
        <v>83</v>
      </c>
      <c r="D60" s="17" t="s">
        <v>36</v>
      </c>
      <c r="E60" s="17"/>
      <c r="F60" s="18" t="n">
        <v>40000</v>
      </c>
      <c r="G60" s="0" t="n">
        <f aca="false">IF(D60="Mono&amp;Dual",MIN(E60,F60)*2,MIN(E60,F60))</f>
        <v>40000</v>
      </c>
    </row>
    <row r="61" customFormat="false" ht="15" hidden="false" customHeight="false" outlineLevel="0" collapsed="false">
      <c r="A61" s="19" t="n">
        <v>1</v>
      </c>
      <c r="B61" s="20" t="n">
        <v>30</v>
      </c>
      <c r="C61" s="20" t="s">
        <v>84</v>
      </c>
      <c r="D61" s="20" t="s">
        <v>36</v>
      </c>
      <c r="E61" s="20"/>
      <c r="F61" s="21" t="n">
        <v>40000</v>
      </c>
      <c r="G61" s="0" t="n">
        <f aca="false">IF(D61="Mono&amp;Dual",MIN(E61,F61)*2,MIN(E61,F61))</f>
        <v>40000</v>
      </c>
    </row>
    <row r="62" customFormat="false" ht="15" hidden="false" customHeight="false" outlineLevel="0" collapsed="false">
      <c r="A62" s="16" t="n">
        <v>1</v>
      </c>
      <c r="B62" s="17" t="n">
        <v>30</v>
      </c>
      <c r="C62" s="17" t="s">
        <v>85</v>
      </c>
      <c r="D62" s="17" t="s">
        <v>36</v>
      </c>
      <c r="E62" s="17"/>
      <c r="F62" s="18" t="n">
        <v>40000</v>
      </c>
      <c r="G62" s="0" t="n">
        <f aca="false">IF(D62="Mono&amp;Dual",MIN(E62,F62)*2,MIN(E62,F62))</f>
        <v>40000</v>
      </c>
    </row>
    <row r="63" customFormat="false" ht="15" hidden="false" customHeight="false" outlineLevel="0" collapsed="false">
      <c r="A63" s="19" t="n">
        <v>1</v>
      </c>
      <c r="B63" s="20" t="n">
        <v>30</v>
      </c>
      <c r="C63" s="20" t="s">
        <v>86</v>
      </c>
      <c r="D63" s="20" t="s">
        <v>36</v>
      </c>
      <c r="E63" s="20"/>
      <c r="F63" s="21" t="n">
        <v>40000</v>
      </c>
      <c r="G63" s="0" t="n">
        <f aca="false">IF(D63="Mono&amp;Dual",MIN(E63,F63)*2,MIN(E63,F63))</f>
        <v>40000</v>
      </c>
    </row>
    <row r="64" customFormat="false" ht="15" hidden="false" customHeight="false" outlineLevel="0" collapsed="false">
      <c r="A64" s="16" t="n">
        <v>1</v>
      </c>
      <c r="B64" s="17" t="n">
        <v>30</v>
      </c>
      <c r="C64" s="17" t="s">
        <v>87</v>
      </c>
      <c r="D64" s="17" t="s">
        <v>36</v>
      </c>
      <c r="E64" s="17"/>
      <c r="F64" s="18" t="n">
        <v>40000</v>
      </c>
      <c r="G64" s="0" t="n">
        <f aca="false">IF(D64="Mono&amp;Dual",MIN(E64,F64)*2,MIN(E64,F64))</f>
        <v>40000</v>
      </c>
    </row>
    <row r="65" customFormat="false" ht="15" hidden="false" customHeight="false" outlineLevel="0" collapsed="false">
      <c r="A65" s="19" t="n">
        <v>1</v>
      </c>
      <c r="B65" s="20" t="n">
        <v>30</v>
      </c>
      <c r="C65" s="20" t="s">
        <v>88</v>
      </c>
      <c r="D65" s="20" t="s">
        <v>36</v>
      </c>
      <c r="E65" s="20"/>
      <c r="F65" s="21" t="n">
        <v>40000</v>
      </c>
      <c r="G65" s="0" t="n">
        <f aca="false">IF(D65="Mono&amp;Dual",MIN(E65,F65)*2,MIN(E65,F65))</f>
        <v>40000</v>
      </c>
    </row>
    <row r="66" customFormat="false" ht="15" hidden="false" customHeight="false" outlineLevel="0" collapsed="false">
      <c r="A66" s="16" t="n">
        <v>1</v>
      </c>
      <c r="B66" s="17" t="n">
        <v>30</v>
      </c>
      <c r="C66" s="17" t="s">
        <v>89</v>
      </c>
      <c r="D66" s="17" t="s">
        <v>36</v>
      </c>
      <c r="E66" s="17"/>
      <c r="F66" s="18" t="n">
        <v>40000</v>
      </c>
      <c r="G66" s="0" t="n">
        <f aca="false">IF(D66="Mono&amp;Dual",MIN(E66,F66)*2,MIN(E66,F66))</f>
        <v>40000</v>
      </c>
    </row>
    <row r="67" customFormat="false" ht="15" hidden="false" customHeight="false" outlineLevel="0" collapsed="false">
      <c r="A67" s="19" t="n">
        <v>1</v>
      </c>
      <c r="B67" s="20" t="n">
        <v>50</v>
      </c>
      <c r="C67" s="20" t="s">
        <v>60</v>
      </c>
      <c r="D67" s="20" t="s">
        <v>32</v>
      </c>
      <c r="E67" s="20" t="n">
        <v>10000</v>
      </c>
      <c r="F67" s="21"/>
      <c r="G67" s="0" t="n">
        <f aca="false">IF(D67="Mono&amp;Dual",MIN(E67,F67)*2,MIN(E67,F67))</f>
        <v>10000</v>
      </c>
    </row>
    <row r="68" customFormat="false" ht="15" hidden="false" customHeight="false" outlineLevel="0" collapsed="false">
      <c r="A68" s="16" t="n">
        <v>1</v>
      </c>
      <c r="B68" s="17" t="n">
        <v>50</v>
      </c>
      <c r="C68" s="17" t="s">
        <v>61</v>
      </c>
      <c r="D68" s="17" t="s">
        <v>32</v>
      </c>
      <c r="E68" s="17" t="n">
        <v>10000</v>
      </c>
      <c r="F68" s="18"/>
      <c r="G68" s="0" t="n">
        <f aca="false">IF(D68="Mono&amp;Dual",MIN(E68,F68)*2,MIN(E68,F68))</f>
        <v>10000</v>
      </c>
    </row>
    <row r="69" customFormat="false" ht="15" hidden="false" customHeight="false" outlineLevel="0" collapsed="false">
      <c r="A69" s="19" t="n">
        <v>1</v>
      </c>
      <c r="B69" s="20" t="n">
        <v>50</v>
      </c>
      <c r="C69" s="20" t="s">
        <v>62</v>
      </c>
      <c r="D69" s="20" t="s">
        <v>32</v>
      </c>
      <c r="E69" s="20" t="n">
        <v>10000</v>
      </c>
      <c r="F69" s="21"/>
      <c r="G69" s="0" t="n">
        <f aca="false">IF(D69="Mono&amp;Dual",MIN(E69,F69)*2,MIN(E69,F69))</f>
        <v>10000</v>
      </c>
    </row>
    <row r="70" customFormat="false" ht="15" hidden="false" customHeight="false" outlineLevel="0" collapsed="false">
      <c r="A70" s="16" t="n">
        <v>1</v>
      </c>
      <c r="B70" s="17" t="n">
        <v>50</v>
      </c>
      <c r="C70" s="17" t="s">
        <v>63</v>
      </c>
      <c r="D70" s="17" t="s">
        <v>32</v>
      </c>
      <c r="E70" s="17" t="n">
        <v>10000</v>
      </c>
      <c r="F70" s="18"/>
      <c r="G70" s="0" t="n">
        <f aca="false">IF(D70="Mono&amp;Dual",MIN(E70,F70)*2,MIN(E70,F70))</f>
        <v>10000</v>
      </c>
    </row>
    <row r="71" customFormat="false" ht="15" hidden="false" customHeight="false" outlineLevel="0" collapsed="false">
      <c r="A71" s="19" t="n">
        <v>1</v>
      </c>
      <c r="B71" s="20" t="n">
        <v>50</v>
      </c>
      <c r="C71" s="20" t="s">
        <v>64</v>
      </c>
      <c r="D71" s="20" t="s">
        <v>32</v>
      </c>
      <c r="E71" s="20" t="n">
        <v>10000</v>
      </c>
      <c r="F71" s="21"/>
      <c r="G71" s="0" t="n">
        <f aca="false">IF(D71="Mono&amp;Dual",MIN(E71,F71)*2,MIN(E71,F71))</f>
        <v>10000</v>
      </c>
    </row>
    <row r="72" customFormat="false" ht="15" hidden="false" customHeight="false" outlineLevel="0" collapsed="false">
      <c r="A72" s="16" t="n">
        <v>1</v>
      </c>
      <c r="B72" s="17" t="n">
        <v>50</v>
      </c>
      <c r="C72" s="17" t="s">
        <v>65</v>
      </c>
      <c r="D72" s="17" t="s">
        <v>32</v>
      </c>
      <c r="E72" s="17" t="n">
        <v>10000</v>
      </c>
      <c r="F72" s="18"/>
      <c r="G72" s="0" t="n">
        <f aca="false">IF(D72="Mono&amp;Dual",MIN(E72,F72)*2,MIN(E72,F72))</f>
        <v>10000</v>
      </c>
    </row>
    <row r="73" customFormat="false" ht="15" hidden="false" customHeight="false" outlineLevel="0" collapsed="false">
      <c r="A73" s="19" t="n">
        <v>1</v>
      </c>
      <c r="B73" s="20" t="n">
        <v>50</v>
      </c>
      <c r="C73" s="20" t="s">
        <v>66</v>
      </c>
      <c r="D73" s="20" t="s">
        <v>32</v>
      </c>
      <c r="E73" s="20" t="n">
        <v>10000</v>
      </c>
      <c r="F73" s="21"/>
      <c r="G73" s="0" t="n">
        <f aca="false">IF(D73="Mono&amp;Dual",MIN(E73,F73)*2,MIN(E73,F73))</f>
        <v>10000</v>
      </c>
    </row>
    <row r="74" customFormat="false" ht="15" hidden="false" customHeight="false" outlineLevel="0" collapsed="false">
      <c r="A74" s="16" t="n">
        <v>1</v>
      </c>
      <c r="B74" s="17" t="n">
        <v>50</v>
      </c>
      <c r="C74" s="17" t="s">
        <v>67</v>
      </c>
      <c r="D74" s="17" t="s">
        <v>32</v>
      </c>
      <c r="E74" s="17" t="n">
        <v>10000</v>
      </c>
      <c r="F74" s="18"/>
      <c r="G74" s="0" t="n">
        <f aca="false">IF(D74="Mono&amp;Dual",MIN(E74,F74)*2,MIN(E74,F74))</f>
        <v>10000</v>
      </c>
    </row>
    <row r="75" customFormat="false" ht="15" hidden="false" customHeight="false" outlineLevel="0" collapsed="false">
      <c r="A75" s="19" t="n">
        <v>1</v>
      </c>
      <c r="B75" s="20" t="n">
        <v>50</v>
      </c>
      <c r="C75" s="20" t="s">
        <v>68</v>
      </c>
      <c r="D75" s="20" t="s">
        <v>32</v>
      </c>
      <c r="E75" s="20" t="n">
        <v>10000</v>
      </c>
      <c r="F75" s="21"/>
      <c r="G75" s="0" t="n">
        <f aca="false">IF(D75="Mono&amp;Dual",MIN(E75,F75)*2,MIN(E75,F75))</f>
        <v>10000</v>
      </c>
    </row>
    <row r="76" customFormat="false" ht="15" hidden="false" customHeight="false" outlineLevel="0" collapsed="false">
      <c r="A76" s="16" t="n">
        <v>1</v>
      </c>
      <c r="B76" s="17" t="n">
        <v>50</v>
      </c>
      <c r="C76" s="17" t="s">
        <v>90</v>
      </c>
      <c r="D76" s="17" t="s">
        <v>32</v>
      </c>
      <c r="E76" s="17" t="n">
        <v>10000</v>
      </c>
      <c r="F76" s="18"/>
      <c r="G76" s="0" t="n">
        <f aca="false">IF(D76="Mono&amp;Dual",MIN(E76,F76)*2,MIN(E76,F76))</f>
        <v>10000</v>
      </c>
    </row>
    <row r="77" customFormat="false" ht="15" hidden="false" customHeight="false" outlineLevel="0" collapsed="false">
      <c r="A77" s="19" t="n">
        <v>1</v>
      </c>
      <c r="B77" s="20" t="n">
        <v>50</v>
      </c>
      <c r="C77" s="20" t="s">
        <v>91</v>
      </c>
      <c r="D77" s="20" t="s">
        <v>32</v>
      </c>
      <c r="E77" s="20" t="n">
        <v>10000</v>
      </c>
      <c r="F77" s="21"/>
      <c r="G77" s="0" t="n">
        <f aca="false">IF(D77="Mono&amp;Dual",MIN(E77,F77)*2,MIN(E77,F77))</f>
        <v>10000</v>
      </c>
    </row>
    <row r="78" customFormat="false" ht="15" hidden="false" customHeight="false" outlineLevel="0" collapsed="false">
      <c r="A78" s="16" t="n">
        <v>1</v>
      </c>
      <c r="B78" s="17" t="n">
        <v>50</v>
      </c>
      <c r="C78" s="17" t="s">
        <v>92</v>
      </c>
      <c r="D78" s="17" t="s">
        <v>32</v>
      </c>
      <c r="E78" s="17" t="n">
        <v>10000</v>
      </c>
      <c r="F78" s="18"/>
      <c r="G78" s="0" t="n">
        <f aca="false">IF(D78="Mono&amp;Dual",MIN(E78,F78)*2,MIN(E78,F78))</f>
        <v>10000</v>
      </c>
    </row>
    <row r="79" customFormat="false" ht="15" hidden="false" customHeight="false" outlineLevel="0" collapsed="false">
      <c r="A79" s="19" t="n">
        <v>1</v>
      </c>
      <c r="B79" s="20" t="n">
        <v>50</v>
      </c>
      <c r="C79" s="20" t="s">
        <v>93</v>
      </c>
      <c r="D79" s="20" t="s">
        <v>32</v>
      </c>
      <c r="E79" s="20" t="n">
        <v>10000</v>
      </c>
      <c r="F79" s="21"/>
      <c r="G79" s="0" t="n">
        <f aca="false">IF(D79="Mono&amp;Dual",MIN(E79,F79)*2,MIN(E79,F79))</f>
        <v>10000</v>
      </c>
    </row>
    <row r="80" customFormat="false" ht="15" hidden="false" customHeight="false" outlineLevel="0" collapsed="false">
      <c r="A80" s="16" t="n">
        <v>1</v>
      </c>
      <c r="B80" s="17" t="n">
        <v>50</v>
      </c>
      <c r="C80" s="17" t="s">
        <v>94</v>
      </c>
      <c r="D80" s="17" t="s">
        <v>32</v>
      </c>
      <c r="E80" s="17" t="n">
        <v>10000</v>
      </c>
      <c r="F80" s="18"/>
      <c r="G80" s="0" t="n">
        <f aca="false">IF(D80="Mono&amp;Dual",MIN(E80,F80)*2,MIN(E80,F80))</f>
        <v>10000</v>
      </c>
    </row>
    <row r="81" customFormat="false" ht="15" hidden="false" customHeight="false" outlineLevel="0" collapsed="false">
      <c r="A81" s="19" t="n">
        <v>1</v>
      </c>
      <c r="B81" s="20" t="n">
        <v>50</v>
      </c>
      <c r="C81" s="20" t="s">
        <v>95</v>
      </c>
      <c r="D81" s="20" t="s">
        <v>32</v>
      </c>
      <c r="E81" s="20" t="n">
        <v>10000</v>
      </c>
      <c r="F81" s="21"/>
      <c r="G81" s="0" t="n">
        <f aca="false">IF(D81="Mono&amp;Dual",MIN(E81,F81)*2,MIN(E81,F81))</f>
        <v>10000</v>
      </c>
    </row>
    <row r="82" customFormat="false" ht="15" hidden="false" customHeight="false" outlineLevel="0" collapsed="false">
      <c r="A82" s="16" t="n">
        <v>1</v>
      </c>
      <c r="B82" s="17" t="n">
        <v>50</v>
      </c>
      <c r="C82" s="17" t="s">
        <v>69</v>
      </c>
      <c r="D82" s="17" t="s">
        <v>32</v>
      </c>
      <c r="E82" s="17" t="n">
        <v>10000</v>
      </c>
      <c r="F82" s="18"/>
      <c r="G82" s="0" t="n">
        <f aca="false">IF(D82="Mono&amp;Dual",MIN(E82,F82)*2,MIN(E82,F82))</f>
        <v>10000</v>
      </c>
    </row>
    <row r="83" customFormat="false" ht="15" hidden="false" customHeight="false" outlineLevel="0" collapsed="false">
      <c r="A83" s="19" t="n">
        <v>1</v>
      </c>
      <c r="B83" s="20" t="n">
        <v>50</v>
      </c>
      <c r="C83" s="20" t="s">
        <v>70</v>
      </c>
      <c r="D83" s="20" t="s">
        <v>32</v>
      </c>
      <c r="E83" s="20" t="n">
        <v>10000</v>
      </c>
      <c r="F83" s="21"/>
      <c r="G83" s="0" t="n">
        <f aca="false">IF(D83="Mono&amp;Dual",MIN(E83,F83)*2,MIN(E83,F83))</f>
        <v>10000</v>
      </c>
    </row>
    <row r="84" customFormat="false" ht="15" hidden="false" customHeight="false" outlineLevel="0" collapsed="false">
      <c r="A84" s="16" t="n">
        <v>1</v>
      </c>
      <c r="B84" s="17" t="n">
        <v>50</v>
      </c>
      <c r="C84" s="17" t="s">
        <v>71</v>
      </c>
      <c r="D84" s="17" t="s">
        <v>32</v>
      </c>
      <c r="E84" s="17" t="n">
        <v>10000</v>
      </c>
      <c r="F84" s="18"/>
      <c r="G84" s="0" t="n">
        <f aca="false">IF(D84="Mono&amp;Dual",MIN(E84,F84)*2,MIN(E84,F84))</f>
        <v>10000</v>
      </c>
    </row>
    <row r="85" customFormat="false" ht="15" hidden="false" customHeight="false" outlineLevel="0" collapsed="false">
      <c r="A85" s="19" t="n">
        <v>1</v>
      </c>
      <c r="B85" s="20" t="n">
        <v>50</v>
      </c>
      <c r="C85" s="20" t="s">
        <v>72</v>
      </c>
      <c r="D85" s="20" t="s">
        <v>32</v>
      </c>
      <c r="E85" s="20" t="n">
        <v>10000</v>
      </c>
      <c r="F85" s="21"/>
      <c r="G85" s="0" t="n">
        <f aca="false">IF(D85="Mono&amp;Dual",MIN(E85,F85)*2,MIN(E85,F85))</f>
        <v>10000</v>
      </c>
    </row>
    <row r="86" customFormat="false" ht="15" hidden="false" customHeight="false" outlineLevel="0" collapsed="false">
      <c r="A86" s="16" t="n">
        <v>1</v>
      </c>
      <c r="B86" s="17" t="n">
        <v>50</v>
      </c>
      <c r="C86" s="17" t="s">
        <v>73</v>
      </c>
      <c r="D86" s="17" t="s">
        <v>32</v>
      </c>
      <c r="E86" s="17" t="n">
        <v>10000</v>
      </c>
      <c r="F86" s="18"/>
      <c r="G86" s="0" t="n">
        <f aca="false">IF(D86="Mono&amp;Dual",MIN(E86,F86)*2,MIN(E86,F86))</f>
        <v>10000</v>
      </c>
    </row>
    <row r="87" customFormat="false" ht="15" hidden="false" customHeight="false" outlineLevel="0" collapsed="false">
      <c r="A87" s="19" t="n">
        <v>1</v>
      </c>
      <c r="B87" s="20" t="n">
        <v>50</v>
      </c>
      <c r="C87" s="20" t="s">
        <v>74</v>
      </c>
      <c r="D87" s="20" t="s">
        <v>32</v>
      </c>
      <c r="E87" s="20" t="n">
        <v>10000</v>
      </c>
      <c r="F87" s="21"/>
      <c r="G87" s="0" t="n">
        <f aca="false">IF(D87="Mono&amp;Dual",MIN(E87,F87)*2,MIN(E87,F87))</f>
        <v>10000</v>
      </c>
    </row>
    <row r="88" customFormat="false" ht="15" hidden="false" customHeight="false" outlineLevel="0" collapsed="false">
      <c r="A88" s="16" t="n">
        <v>1</v>
      </c>
      <c r="B88" s="17" t="n">
        <v>50</v>
      </c>
      <c r="C88" s="17" t="s">
        <v>75</v>
      </c>
      <c r="D88" s="17" t="s">
        <v>32</v>
      </c>
      <c r="E88" s="17" t="n">
        <v>10000</v>
      </c>
      <c r="F88" s="18"/>
      <c r="G88" s="0" t="n">
        <f aca="false">IF(D88="Mono&amp;Dual",MIN(E88,F88)*2,MIN(E88,F88))</f>
        <v>10000</v>
      </c>
    </row>
    <row r="89" customFormat="false" ht="15" hidden="false" customHeight="false" outlineLevel="0" collapsed="false">
      <c r="A89" s="19" t="n">
        <v>1</v>
      </c>
      <c r="B89" s="20" t="n">
        <v>50</v>
      </c>
      <c r="C89" s="20" t="s">
        <v>76</v>
      </c>
      <c r="D89" s="20" t="s">
        <v>32</v>
      </c>
      <c r="E89" s="20" t="n">
        <v>10000</v>
      </c>
      <c r="F89" s="21"/>
      <c r="G89" s="0" t="n">
        <f aca="false">IF(D89="Mono&amp;Dual",MIN(E89,F89)*2,MIN(E89,F89))</f>
        <v>10000</v>
      </c>
    </row>
    <row r="90" customFormat="false" ht="15" hidden="false" customHeight="false" outlineLevel="0" collapsed="false">
      <c r="A90" s="16" t="n">
        <v>1</v>
      </c>
      <c r="B90" s="17" t="n">
        <v>50</v>
      </c>
      <c r="C90" s="17" t="s">
        <v>77</v>
      </c>
      <c r="D90" s="17" t="s">
        <v>32</v>
      </c>
      <c r="E90" s="17" t="n">
        <v>10000</v>
      </c>
      <c r="F90" s="18"/>
      <c r="G90" s="0" t="n">
        <f aca="false">IF(D90="Mono&amp;Dual",MIN(E90,F90)*2,MIN(E90,F90))</f>
        <v>10000</v>
      </c>
    </row>
    <row r="91" customFormat="false" ht="15" hidden="false" customHeight="false" outlineLevel="0" collapsed="false">
      <c r="A91" s="19" t="n">
        <v>1</v>
      </c>
      <c r="B91" s="20" t="n">
        <v>50</v>
      </c>
      <c r="C91" s="20" t="s">
        <v>96</v>
      </c>
      <c r="D91" s="20" t="s">
        <v>32</v>
      </c>
      <c r="E91" s="20" t="n">
        <v>10000</v>
      </c>
      <c r="F91" s="21"/>
      <c r="G91" s="0" t="n">
        <f aca="false">IF(D91="Mono&amp;Dual",MIN(E91,F91)*2,MIN(E91,F91))</f>
        <v>10000</v>
      </c>
    </row>
    <row r="92" customFormat="false" ht="15" hidden="false" customHeight="false" outlineLevel="0" collapsed="false">
      <c r="A92" s="16" t="n">
        <v>1</v>
      </c>
      <c r="B92" s="17" t="n">
        <v>50</v>
      </c>
      <c r="C92" s="17" t="s">
        <v>97</v>
      </c>
      <c r="D92" s="17" t="s">
        <v>32</v>
      </c>
      <c r="E92" s="17" t="n">
        <v>10000</v>
      </c>
      <c r="F92" s="18"/>
      <c r="G92" s="0" t="n">
        <f aca="false">IF(D92="Mono&amp;Dual",MIN(E92,F92)*2,MIN(E92,F92))</f>
        <v>10000</v>
      </c>
    </row>
    <row r="93" customFormat="false" ht="15" hidden="false" customHeight="false" outlineLevel="0" collapsed="false">
      <c r="A93" s="19" t="n">
        <v>1</v>
      </c>
      <c r="B93" s="20" t="n">
        <v>50</v>
      </c>
      <c r="C93" s="20" t="s">
        <v>98</v>
      </c>
      <c r="D93" s="20" t="s">
        <v>32</v>
      </c>
      <c r="E93" s="20" t="n">
        <v>10000</v>
      </c>
      <c r="F93" s="21"/>
      <c r="G93" s="0" t="n">
        <f aca="false">IF(D93="Mono&amp;Dual",MIN(E93,F93)*2,MIN(E93,F93))</f>
        <v>10000</v>
      </c>
    </row>
    <row r="94" customFormat="false" ht="15" hidden="false" customHeight="false" outlineLevel="0" collapsed="false">
      <c r="A94" s="16" t="n">
        <v>1</v>
      </c>
      <c r="B94" s="17" t="n">
        <v>50</v>
      </c>
      <c r="C94" s="17" t="s">
        <v>99</v>
      </c>
      <c r="D94" s="17" t="s">
        <v>32</v>
      </c>
      <c r="E94" s="17" t="n">
        <v>10000</v>
      </c>
      <c r="F94" s="18"/>
      <c r="G94" s="0" t="n">
        <f aca="false">IF(D94="Mono&amp;Dual",MIN(E94,F94)*2,MIN(E94,F94))</f>
        <v>10000</v>
      </c>
    </row>
    <row r="95" customFormat="false" ht="15" hidden="false" customHeight="false" outlineLevel="0" collapsed="false">
      <c r="A95" s="19" t="n">
        <v>1</v>
      </c>
      <c r="B95" s="20" t="n">
        <v>50</v>
      </c>
      <c r="C95" s="20" t="s">
        <v>100</v>
      </c>
      <c r="D95" s="20" t="s">
        <v>32</v>
      </c>
      <c r="E95" s="20" t="n">
        <v>10000</v>
      </c>
      <c r="F95" s="21"/>
      <c r="G95" s="0" t="n">
        <f aca="false">IF(D95="Mono&amp;Dual",MIN(E95,F95)*2,MIN(E95,F95))</f>
        <v>10000</v>
      </c>
    </row>
    <row r="96" customFormat="false" ht="15" hidden="false" customHeight="false" outlineLevel="0" collapsed="false">
      <c r="A96" s="16" t="n">
        <v>1</v>
      </c>
      <c r="B96" s="17" t="n">
        <v>50</v>
      </c>
      <c r="C96" s="17" t="s">
        <v>101</v>
      </c>
      <c r="D96" s="17" t="s">
        <v>32</v>
      </c>
      <c r="E96" s="17" t="n">
        <v>10000</v>
      </c>
      <c r="F96" s="18"/>
      <c r="G96" s="0" t="n">
        <f aca="false">IF(D96="Mono&amp;Dual",MIN(E96,F96)*2,MIN(E96,F96))</f>
        <v>10000</v>
      </c>
    </row>
    <row r="97" customFormat="false" ht="15" hidden="false" customHeight="false" outlineLevel="0" collapsed="false">
      <c r="A97" s="19" t="n">
        <v>1</v>
      </c>
      <c r="B97" s="20" t="n">
        <v>50</v>
      </c>
      <c r="C97" s="20" t="s">
        <v>78</v>
      </c>
      <c r="D97" s="20" t="s">
        <v>36</v>
      </c>
      <c r="E97" s="20"/>
      <c r="F97" s="21" t="n">
        <v>40000</v>
      </c>
      <c r="G97" s="0" t="n">
        <f aca="false">IF(D97="Mono&amp;Dual",MIN(E97,F97)*2,MIN(E97,F97))</f>
        <v>40000</v>
      </c>
    </row>
    <row r="98" customFormat="false" ht="15" hidden="false" customHeight="false" outlineLevel="0" collapsed="false">
      <c r="A98" s="16" t="n">
        <v>1</v>
      </c>
      <c r="B98" s="17" t="n">
        <v>50</v>
      </c>
      <c r="C98" s="17" t="s">
        <v>79</v>
      </c>
      <c r="D98" s="17" t="s">
        <v>36</v>
      </c>
      <c r="E98" s="17"/>
      <c r="F98" s="18" t="n">
        <v>40000</v>
      </c>
      <c r="G98" s="0" t="n">
        <f aca="false">IF(D98="Mono&amp;Dual",MIN(E98,F98)*2,MIN(E98,F98))</f>
        <v>40000</v>
      </c>
    </row>
    <row r="99" customFormat="false" ht="15" hidden="false" customHeight="false" outlineLevel="0" collapsed="false">
      <c r="A99" s="19" t="n">
        <v>1</v>
      </c>
      <c r="B99" s="20" t="n">
        <v>50</v>
      </c>
      <c r="C99" s="20" t="s">
        <v>80</v>
      </c>
      <c r="D99" s="20" t="s">
        <v>36</v>
      </c>
      <c r="E99" s="20"/>
      <c r="F99" s="21" t="n">
        <v>40000</v>
      </c>
      <c r="G99" s="0" t="n">
        <f aca="false">IF(D99="Mono&amp;Dual",MIN(E99,F99)*2,MIN(E99,F99))</f>
        <v>40000</v>
      </c>
    </row>
    <row r="100" customFormat="false" ht="15" hidden="false" customHeight="false" outlineLevel="0" collapsed="false">
      <c r="A100" s="16" t="n">
        <v>1</v>
      </c>
      <c r="B100" s="17" t="n">
        <v>50</v>
      </c>
      <c r="C100" s="17" t="s">
        <v>81</v>
      </c>
      <c r="D100" s="17" t="s">
        <v>36</v>
      </c>
      <c r="E100" s="17"/>
      <c r="F100" s="18" t="n">
        <v>40000</v>
      </c>
      <c r="G100" s="0" t="n">
        <f aca="false">IF(D100="Mono&amp;Dual",MIN(E100,F100)*2,MIN(E100,F100))</f>
        <v>40000</v>
      </c>
    </row>
    <row r="101" customFormat="false" ht="15" hidden="false" customHeight="false" outlineLevel="0" collapsed="false">
      <c r="A101" s="19" t="n">
        <v>1</v>
      </c>
      <c r="B101" s="20" t="n">
        <v>50</v>
      </c>
      <c r="C101" s="20" t="s">
        <v>82</v>
      </c>
      <c r="D101" s="20" t="s">
        <v>36</v>
      </c>
      <c r="E101" s="20"/>
      <c r="F101" s="21" t="n">
        <v>40000</v>
      </c>
      <c r="G101" s="0" t="n">
        <f aca="false">IF(D101="Mono&amp;Dual",MIN(E101,F101)*2,MIN(E101,F101))</f>
        <v>40000</v>
      </c>
    </row>
    <row r="102" customFormat="false" ht="15" hidden="false" customHeight="false" outlineLevel="0" collapsed="false">
      <c r="A102" s="16" t="n">
        <v>1</v>
      </c>
      <c r="B102" s="17" t="n">
        <v>50</v>
      </c>
      <c r="C102" s="17" t="s">
        <v>83</v>
      </c>
      <c r="D102" s="17" t="s">
        <v>36</v>
      </c>
      <c r="E102" s="17"/>
      <c r="F102" s="18" t="n">
        <v>40000</v>
      </c>
      <c r="G102" s="0" t="n">
        <f aca="false">IF(D102="Mono&amp;Dual",MIN(E102,F102)*2,MIN(E102,F102))</f>
        <v>40000</v>
      </c>
    </row>
    <row r="103" customFormat="false" ht="15" hidden="false" customHeight="false" outlineLevel="0" collapsed="false">
      <c r="A103" s="19" t="n">
        <v>1</v>
      </c>
      <c r="B103" s="20" t="n">
        <v>50</v>
      </c>
      <c r="C103" s="20" t="s">
        <v>84</v>
      </c>
      <c r="D103" s="20" t="s">
        <v>36</v>
      </c>
      <c r="E103" s="20"/>
      <c r="F103" s="21" t="n">
        <v>40000</v>
      </c>
      <c r="G103" s="0" t="n">
        <f aca="false">IF(D103="Mono&amp;Dual",MIN(E103,F103)*2,MIN(E103,F103))</f>
        <v>40000</v>
      </c>
    </row>
    <row r="104" customFormat="false" ht="15" hidden="false" customHeight="false" outlineLevel="0" collapsed="false">
      <c r="A104" s="16" t="n">
        <v>1</v>
      </c>
      <c r="B104" s="17" t="n">
        <v>50</v>
      </c>
      <c r="C104" s="17" t="s">
        <v>85</v>
      </c>
      <c r="D104" s="17" t="s">
        <v>36</v>
      </c>
      <c r="E104" s="17"/>
      <c r="F104" s="18" t="n">
        <v>40000</v>
      </c>
      <c r="G104" s="0" t="n">
        <f aca="false">IF(D104="Mono&amp;Dual",MIN(E104,F104)*2,MIN(E104,F104))</f>
        <v>40000</v>
      </c>
    </row>
    <row r="105" customFormat="false" ht="15" hidden="false" customHeight="false" outlineLevel="0" collapsed="false">
      <c r="A105" s="19" t="n">
        <v>1</v>
      </c>
      <c r="B105" s="20" t="n">
        <v>50</v>
      </c>
      <c r="C105" s="20" t="s">
        <v>86</v>
      </c>
      <c r="D105" s="20" t="s">
        <v>36</v>
      </c>
      <c r="E105" s="20"/>
      <c r="F105" s="21" t="n">
        <v>40000</v>
      </c>
      <c r="G105" s="0" t="n">
        <f aca="false">IF(D105="Mono&amp;Dual",MIN(E105,F105)*2,MIN(E105,F105))</f>
        <v>40000</v>
      </c>
    </row>
    <row r="106" customFormat="false" ht="15" hidden="false" customHeight="false" outlineLevel="0" collapsed="false">
      <c r="A106" s="16" t="n">
        <v>1</v>
      </c>
      <c r="B106" s="17" t="n">
        <v>50</v>
      </c>
      <c r="C106" s="17" t="s">
        <v>87</v>
      </c>
      <c r="D106" s="17" t="s">
        <v>36</v>
      </c>
      <c r="E106" s="17"/>
      <c r="F106" s="18" t="n">
        <v>40000</v>
      </c>
      <c r="G106" s="0" t="n">
        <f aca="false">IF(D106="Mono&amp;Dual",MIN(E106,F106)*2,MIN(E106,F106))</f>
        <v>40000</v>
      </c>
    </row>
    <row r="107" customFormat="false" ht="15" hidden="false" customHeight="false" outlineLevel="0" collapsed="false">
      <c r="A107" s="19" t="n">
        <v>1</v>
      </c>
      <c r="B107" s="20" t="n">
        <v>50</v>
      </c>
      <c r="C107" s="20" t="s">
        <v>88</v>
      </c>
      <c r="D107" s="20" t="s">
        <v>36</v>
      </c>
      <c r="E107" s="20"/>
      <c r="F107" s="21" t="n">
        <v>40000</v>
      </c>
      <c r="G107" s="0" t="n">
        <f aca="false">IF(D107="Mono&amp;Dual",MIN(E107,F107)*2,MIN(E107,F107))</f>
        <v>40000</v>
      </c>
    </row>
    <row r="108" customFormat="false" ht="15" hidden="false" customHeight="false" outlineLevel="0" collapsed="false">
      <c r="A108" s="16" t="n">
        <v>1</v>
      </c>
      <c r="B108" s="17" t="n">
        <v>50</v>
      </c>
      <c r="C108" s="17" t="s">
        <v>89</v>
      </c>
      <c r="D108" s="17" t="s">
        <v>36</v>
      </c>
      <c r="E108" s="17"/>
      <c r="F108" s="18" t="n">
        <v>40000</v>
      </c>
      <c r="G108" s="0" t="n">
        <f aca="false">IF(D108="Mono&amp;Dual",MIN(E108,F108)*2,MIN(E108,F108))</f>
        <v>40000</v>
      </c>
    </row>
    <row r="109" customFormat="false" ht="15" hidden="false" customHeight="false" outlineLevel="0" collapsed="false">
      <c r="A109" s="19" t="n">
        <v>1</v>
      </c>
      <c r="B109" s="20" t="n">
        <v>50</v>
      </c>
      <c r="C109" s="20" t="s">
        <v>102</v>
      </c>
      <c r="D109" s="20" t="s">
        <v>36</v>
      </c>
      <c r="E109" s="20"/>
      <c r="F109" s="21" t="n">
        <v>40000</v>
      </c>
      <c r="G109" s="0" t="n">
        <f aca="false">IF(D109="Mono&amp;Dual",MIN(E109,F109)*2,MIN(E109,F109))</f>
        <v>40000</v>
      </c>
    </row>
    <row r="110" customFormat="false" ht="15" hidden="false" customHeight="false" outlineLevel="0" collapsed="false">
      <c r="A110" s="16" t="n">
        <v>1</v>
      </c>
      <c r="B110" s="17" t="n">
        <v>50</v>
      </c>
      <c r="C110" s="17" t="s">
        <v>103</v>
      </c>
      <c r="D110" s="17" t="s">
        <v>36</v>
      </c>
      <c r="E110" s="17"/>
      <c r="F110" s="18" t="n">
        <v>40000</v>
      </c>
      <c r="G110" s="0" t="n">
        <f aca="false">IF(D110="Mono&amp;Dual",MIN(E110,F110)*2,MIN(E110,F110))</f>
        <v>40000</v>
      </c>
    </row>
    <row r="111" customFormat="false" ht="15" hidden="false" customHeight="false" outlineLevel="0" collapsed="false">
      <c r="A111" s="19" t="n">
        <v>1</v>
      </c>
      <c r="B111" s="20" t="n">
        <v>50</v>
      </c>
      <c r="C111" s="20" t="s">
        <v>104</v>
      </c>
      <c r="D111" s="20" t="s">
        <v>36</v>
      </c>
      <c r="E111" s="20"/>
      <c r="F111" s="21" t="n">
        <v>40000</v>
      </c>
      <c r="G111" s="0" t="n">
        <f aca="false">IF(D111="Mono&amp;Dual",MIN(E111,F111)*2,MIN(E111,F111))</f>
        <v>40000</v>
      </c>
    </row>
    <row r="112" customFormat="false" ht="15" hidden="false" customHeight="false" outlineLevel="0" collapsed="false">
      <c r="A112" s="16" t="n">
        <v>1</v>
      </c>
      <c r="B112" s="17" t="n">
        <v>50</v>
      </c>
      <c r="C112" s="17" t="s">
        <v>105</v>
      </c>
      <c r="D112" s="17" t="s">
        <v>36</v>
      </c>
      <c r="E112" s="17"/>
      <c r="F112" s="18" t="n">
        <v>40000</v>
      </c>
      <c r="G112" s="0" t="n">
        <f aca="false">IF(D112="Mono&amp;Dual",MIN(E112,F112)*2,MIN(E112,F112))</f>
        <v>40000</v>
      </c>
    </row>
    <row r="113" customFormat="false" ht="15" hidden="false" customHeight="false" outlineLevel="0" collapsed="false">
      <c r="A113" s="19" t="n">
        <v>1</v>
      </c>
      <c r="B113" s="20" t="n">
        <v>50</v>
      </c>
      <c r="C113" s="20" t="s">
        <v>106</v>
      </c>
      <c r="D113" s="20" t="s">
        <v>36</v>
      </c>
      <c r="E113" s="20"/>
      <c r="F113" s="21" t="n">
        <v>40000</v>
      </c>
      <c r="G113" s="0" t="n">
        <f aca="false">IF(D113="Mono&amp;Dual",MIN(E113,F113)*2,MIN(E113,F113))</f>
        <v>40000</v>
      </c>
    </row>
    <row r="114" customFormat="false" ht="15" hidden="false" customHeight="false" outlineLevel="0" collapsed="false">
      <c r="A114" s="16" t="n">
        <v>1</v>
      </c>
      <c r="B114" s="17" t="n">
        <v>50</v>
      </c>
      <c r="C114" s="17" t="s">
        <v>107</v>
      </c>
      <c r="D114" s="17" t="s">
        <v>36</v>
      </c>
      <c r="E114" s="17"/>
      <c r="F114" s="18" t="n">
        <v>40000</v>
      </c>
      <c r="G114" s="0" t="n">
        <f aca="false">IF(D114="Mono&amp;Dual",MIN(E114,F114)*2,MIN(E114,F114))</f>
        <v>40000</v>
      </c>
    </row>
    <row r="115" customFormat="false" ht="15" hidden="false" customHeight="false" outlineLevel="0" collapsed="false">
      <c r="A115" s="19" t="n">
        <v>1</v>
      </c>
      <c r="B115" s="20" t="n">
        <v>50</v>
      </c>
      <c r="C115" s="20" t="s">
        <v>108</v>
      </c>
      <c r="D115" s="20" t="s">
        <v>36</v>
      </c>
      <c r="E115" s="20"/>
      <c r="F115" s="21" t="n">
        <v>40000</v>
      </c>
      <c r="G115" s="0" t="n">
        <f aca="false">IF(D115="Mono&amp;Dual",MIN(E115,F115)*2,MIN(E115,F115))</f>
        <v>40000</v>
      </c>
    </row>
    <row r="116" customFormat="false" ht="15" hidden="false" customHeight="false" outlineLevel="0" collapsed="false">
      <c r="A116" s="16" t="n">
        <v>1</v>
      </c>
      <c r="B116" s="17" t="n">
        <v>50</v>
      </c>
      <c r="C116" s="17" t="s">
        <v>109</v>
      </c>
      <c r="D116" s="17" t="s">
        <v>36</v>
      </c>
      <c r="E116" s="17"/>
      <c r="F116" s="18" t="n">
        <v>40000</v>
      </c>
      <c r="G116" s="0" t="n">
        <f aca="false">IF(D116="Mono&amp;Dual",MIN(E116,F116)*2,MIN(E116,F116))</f>
        <v>40000</v>
      </c>
    </row>
    <row r="117" customFormat="false" ht="15" hidden="false" customHeight="false" outlineLevel="0" collapsed="false">
      <c r="A117" s="16" t="n">
        <v>1</v>
      </c>
      <c r="B117" s="17" t="n">
        <v>100</v>
      </c>
      <c r="C117" s="17" t="s">
        <v>110</v>
      </c>
      <c r="D117" s="17" t="s">
        <v>32</v>
      </c>
      <c r="E117" s="17" t="n">
        <v>3000</v>
      </c>
      <c r="F117" s="18"/>
      <c r="G117" s="0" t="n">
        <f aca="false">IF(D117="Mono&amp;Dual",MIN(E117,F117)*2,MIN(E117,F117))</f>
        <v>3000</v>
      </c>
    </row>
    <row r="118" customFormat="false" ht="15" hidden="false" customHeight="false" outlineLevel="0" collapsed="false">
      <c r="A118" s="19" t="n">
        <v>1</v>
      </c>
      <c r="B118" s="20" t="n">
        <v>100</v>
      </c>
      <c r="C118" s="20" t="s">
        <v>111</v>
      </c>
      <c r="D118" s="20" t="s">
        <v>32</v>
      </c>
      <c r="E118" s="20" t="n">
        <v>3000</v>
      </c>
      <c r="F118" s="21"/>
      <c r="G118" s="0" t="n">
        <f aca="false">IF(D118="Mono&amp;Dual",MIN(E118,F118)*2,MIN(E118,F118))</f>
        <v>3000</v>
      </c>
    </row>
    <row r="119" customFormat="false" ht="15" hidden="false" customHeight="false" outlineLevel="0" collapsed="false">
      <c r="A119" s="16" t="n">
        <v>1</v>
      </c>
      <c r="B119" s="17" t="n">
        <v>100</v>
      </c>
      <c r="C119" s="17" t="s">
        <v>112</v>
      </c>
      <c r="D119" s="17" t="s">
        <v>32</v>
      </c>
      <c r="E119" s="17" t="n">
        <v>3000</v>
      </c>
      <c r="F119" s="18"/>
      <c r="G119" s="0" t="n">
        <f aca="false">IF(D119="Mono&amp;Dual",MIN(E119,F119)*2,MIN(E119,F119))</f>
        <v>3000</v>
      </c>
    </row>
    <row r="120" customFormat="false" ht="15" hidden="false" customHeight="false" outlineLevel="0" collapsed="false">
      <c r="A120" s="19" t="n">
        <v>1</v>
      </c>
      <c r="B120" s="20" t="n">
        <v>100</v>
      </c>
      <c r="C120" s="20" t="s">
        <v>113</v>
      </c>
      <c r="D120" s="20" t="s">
        <v>32</v>
      </c>
      <c r="E120" s="20" t="n">
        <v>3000</v>
      </c>
      <c r="F120" s="21"/>
      <c r="G120" s="0" t="n">
        <f aca="false">IF(D120="Mono&amp;Dual",MIN(E120,F120)*2,MIN(E120,F120))</f>
        <v>3000</v>
      </c>
    </row>
    <row r="121" customFormat="false" ht="15" hidden="false" customHeight="false" outlineLevel="0" collapsed="false">
      <c r="A121" s="16" t="n">
        <v>1</v>
      </c>
      <c r="B121" s="17" t="n">
        <v>100</v>
      </c>
      <c r="C121" s="17" t="s">
        <v>114</v>
      </c>
      <c r="D121" s="17" t="s">
        <v>32</v>
      </c>
      <c r="E121" s="17" t="n">
        <v>3000</v>
      </c>
      <c r="F121" s="18"/>
      <c r="G121" s="0" t="n">
        <f aca="false">IF(D121="Mono&amp;Dual",MIN(E121,F121)*2,MIN(E121,F121))</f>
        <v>3000</v>
      </c>
    </row>
    <row r="122" customFormat="false" ht="15" hidden="false" customHeight="false" outlineLevel="0" collapsed="false">
      <c r="A122" s="19" t="n">
        <v>1</v>
      </c>
      <c r="B122" s="20" t="n">
        <v>100</v>
      </c>
      <c r="C122" s="20" t="s">
        <v>115</v>
      </c>
      <c r="D122" s="20" t="s">
        <v>32</v>
      </c>
      <c r="E122" s="20" t="n">
        <v>3000</v>
      </c>
      <c r="F122" s="21"/>
      <c r="G122" s="0" t="n">
        <f aca="false">IF(D122="Mono&amp;Dual",MIN(E122,F122)*2,MIN(E122,F122))</f>
        <v>3000</v>
      </c>
    </row>
    <row r="123" customFormat="false" ht="15" hidden="false" customHeight="false" outlineLevel="0" collapsed="false">
      <c r="A123" s="16" t="n">
        <v>1</v>
      </c>
      <c r="B123" s="17" t="n">
        <v>100</v>
      </c>
      <c r="C123" s="17" t="s">
        <v>116</v>
      </c>
      <c r="D123" s="17" t="s">
        <v>32</v>
      </c>
      <c r="E123" s="17" t="n">
        <v>3000</v>
      </c>
      <c r="F123" s="18"/>
      <c r="G123" s="0" t="n">
        <f aca="false">IF(D123="Mono&amp;Dual",MIN(E123,F123)*2,MIN(E123,F123))</f>
        <v>3000</v>
      </c>
    </row>
    <row r="124" customFormat="false" ht="15" hidden="false" customHeight="false" outlineLevel="0" collapsed="false">
      <c r="A124" s="19" t="n">
        <v>1</v>
      </c>
      <c r="B124" s="20" t="n">
        <v>100</v>
      </c>
      <c r="C124" s="20" t="s">
        <v>117</v>
      </c>
      <c r="D124" s="20" t="s">
        <v>32</v>
      </c>
      <c r="E124" s="20" t="n">
        <v>3000</v>
      </c>
      <c r="F124" s="21"/>
      <c r="G124" s="0" t="n">
        <f aca="false">IF(D124="Mono&amp;Dual",MIN(E124,F124)*2,MIN(E124,F124))</f>
        <v>3000</v>
      </c>
    </row>
    <row r="125" customFormat="false" ht="15" hidden="false" customHeight="false" outlineLevel="0" collapsed="false">
      <c r="A125" s="16" t="n">
        <v>1</v>
      </c>
      <c r="B125" s="17" t="n">
        <v>100</v>
      </c>
      <c r="C125" s="17" t="s">
        <v>118</v>
      </c>
      <c r="D125" s="17" t="s">
        <v>32</v>
      </c>
      <c r="E125" s="17" t="n">
        <v>3000</v>
      </c>
      <c r="F125" s="18"/>
      <c r="G125" s="0" t="n">
        <f aca="false">IF(D125="Mono&amp;Dual",MIN(E125,F125)*2,MIN(E125,F125))</f>
        <v>3000</v>
      </c>
    </row>
    <row r="126" customFormat="false" ht="15" hidden="false" customHeight="false" outlineLevel="0" collapsed="false">
      <c r="A126" s="19" t="n">
        <v>1</v>
      </c>
      <c r="B126" s="20" t="n">
        <v>100</v>
      </c>
      <c r="C126" s="20" t="s">
        <v>119</v>
      </c>
      <c r="D126" s="20" t="s">
        <v>32</v>
      </c>
      <c r="E126" s="20" t="n">
        <v>3000</v>
      </c>
      <c r="F126" s="21"/>
      <c r="G126" s="0" t="n">
        <f aca="false">IF(D126="Mono&amp;Dual",MIN(E126,F126)*2,MIN(E126,F126))</f>
        <v>3000</v>
      </c>
    </row>
    <row r="127" customFormat="false" ht="15" hidden="false" customHeight="false" outlineLevel="0" collapsed="false">
      <c r="A127" s="16" t="n">
        <v>1</v>
      </c>
      <c r="B127" s="17" t="n">
        <v>100</v>
      </c>
      <c r="C127" s="17" t="s">
        <v>120</v>
      </c>
      <c r="D127" s="17" t="s">
        <v>32</v>
      </c>
      <c r="E127" s="17" t="n">
        <v>3000</v>
      </c>
      <c r="F127" s="18"/>
      <c r="G127" s="0" t="n">
        <f aca="false">IF(D127="Mono&amp;Dual",MIN(E127,F127)*2,MIN(E127,F127))</f>
        <v>3000</v>
      </c>
    </row>
    <row r="128" customFormat="false" ht="15" hidden="false" customHeight="false" outlineLevel="0" collapsed="false">
      <c r="A128" s="19" t="n">
        <v>1</v>
      </c>
      <c r="B128" s="20" t="n">
        <v>100</v>
      </c>
      <c r="C128" s="20" t="s">
        <v>121</v>
      </c>
      <c r="D128" s="20" t="s">
        <v>32</v>
      </c>
      <c r="E128" s="20" t="n">
        <v>3000</v>
      </c>
      <c r="F128" s="21"/>
      <c r="G128" s="0" t="n">
        <f aca="false">IF(D128="Mono&amp;Dual",MIN(E128,F128)*2,MIN(E128,F128))</f>
        <v>3000</v>
      </c>
    </row>
    <row r="129" customFormat="false" ht="15" hidden="false" customHeight="false" outlineLevel="0" collapsed="false">
      <c r="A129" s="16" t="n">
        <v>1</v>
      </c>
      <c r="B129" s="17" t="n">
        <v>100</v>
      </c>
      <c r="C129" s="17" t="s">
        <v>122</v>
      </c>
      <c r="D129" s="17" t="s">
        <v>32</v>
      </c>
      <c r="E129" s="17" t="n">
        <v>3000</v>
      </c>
      <c r="F129" s="18"/>
      <c r="G129" s="0" t="n">
        <f aca="false">IF(D129="Mono&amp;Dual",MIN(E129,F129)*2,MIN(E129,F129))</f>
        <v>3000</v>
      </c>
    </row>
    <row r="130" customFormat="false" ht="15" hidden="false" customHeight="false" outlineLevel="0" collapsed="false">
      <c r="A130" s="19" t="n">
        <v>1</v>
      </c>
      <c r="B130" s="20" t="n">
        <v>100</v>
      </c>
      <c r="C130" s="20" t="s">
        <v>123</v>
      </c>
      <c r="D130" s="20" t="s">
        <v>32</v>
      </c>
      <c r="E130" s="20" t="n">
        <v>3000</v>
      </c>
      <c r="F130" s="21"/>
      <c r="G130" s="0" t="n">
        <f aca="false">IF(D130="Mono&amp;Dual",MIN(E130,F130)*2,MIN(E130,F130))</f>
        <v>3000</v>
      </c>
    </row>
    <row r="131" customFormat="false" ht="15" hidden="false" customHeight="false" outlineLevel="0" collapsed="false">
      <c r="A131" s="16" t="n">
        <v>1</v>
      </c>
      <c r="B131" s="17" t="n">
        <v>100</v>
      </c>
      <c r="C131" s="17" t="s">
        <v>124</v>
      </c>
      <c r="D131" s="17" t="s">
        <v>32</v>
      </c>
      <c r="E131" s="17" t="n">
        <v>3000</v>
      </c>
      <c r="F131" s="18"/>
      <c r="G131" s="0" t="n">
        <f aca="false">IF(D131="Mono&amp;Dual",MIN(E131,F131)*2,MIN(E131,F131))</f>
        <v>3000</v>
      </c>
    </row>
    <row r="132" customFormat="false" ht="15" hidden="false" customHeight="false" outlineLevel="0" collapsed="false">
      <c r="A132" s="19" t="n">
        <v>1</v>
      </c>
      <c r="B132" s="20" t="n">
        <v>100</v>
      </c>
      <c r="C132" s="20" t="s">
        <v>125</v>
      </c>
      <c r="D132" s="20" t="s">
        <v>32</v>
      </c>
      <c r="E132" s="20" t="n">
        <v>3000</v>
      </c>
      <c r="F132" s="21"/>
      <c r="G132" s="0" t="n">
        <f aca="false">IF(D132="Mono&amp;Dual",MIN(E132,F132)*2,MIN(E132,F132))</f>
        <v>3000</v>
      </c>
    </row>
    <row r="133" customFormat="false" ht="15" hidden="false" customHeight="false" outlineLevel="0" collapsed="false">
      <c r="A133" s="16" t="n">
        <v>1</v>
      </c>
      <c r="B133" s="17" t="n">
        <v>100</v>
      </c>
      <c r="C133" s="17" t="s">
        <v>126</v>
      </c>
      <c r="D133" s="17" t="s">
        <v>32</v>
      </c>
      <c r="E133" s="17" t="n">
        <v>3000</v>
      </c>
      <c r="F133" s="18"/>
      <c r="G133" s="0" t="n">
        <f aca="false">IF(D133="Mono&amp;Dual",MIN(E133,F133)*2,MIN(E133,F133))</f>
        <v>3000</v>
      </c>
    </row>
    <row r="134" customFormat="false" ht="15" hidden="false" customHeight="false" outlineLevel="0" collapsed="false">
      <c r="A134" s="19" t="n">
        <v>1</v>
      </c>
      <c r="B134" s="20" t="n">
        <v>100</v>
      </c>
      <c r="C134" s="20" t="s">
        <v>127</v>
      </c>
      <c r="D134" s="20" t="s">
        <v>32</v>
      </c>
      <c r="E134" s="20" t="n">
        <v>3000</v>
      </c>
      <c r="F134" s="21"/>
      <c r="G134" s="0" t="n">
        <f aca="false">IF(D134="Mono&amp;Dual",MIN(E134,F134)*2,MIN(E134,F134))</f>
        <v>3000</v>
      </c>
    </row>
    <row r="135" customFormat="false" ht="15" hidden="false" customHeight="false" outlineLevel="0" collapsed="false">
      <c r="A135" s="16" t="n">
        <v>1</v>
      </c>
      <c r="B135" s="17" t="n">
        <v>100</v>
      </c>
      <c r="C135" s="17" t="s">
        <v>128</v>
      </c>
      <c r="D135" s="17" t="s">
        <v>32</v>
      </c>
      <c r="E135" s="17" t="n">
        <v>3000</v>
      </c>
      <c r="F135" s="18"/>
      <c r="G135" s="0" t="n">
        <f aca="false">IF(D135="Mono&amp;Dual",MIN(E135,F135)*2,MIN(E135,F135))</f>
        <v>3000</v>
      </c>
    </row>
    <row r="136" customFormat="false" ht="15" hidden="false" customHeight="false" outlineLevel="0" collapsed="false">
      <c r="A136" s="19" t="n">
        <v>1</v>
      </c>
      <c r="B136" s="20" t="n">
        <v>100</v>
      </c>
      <c r="C136" s="20" t="s">
        <v>129</v>
      </c>
      <c r="D136" s="20" t="s">
        <v>32</v>
      </c>
      <c r="E136" s="20" t="n">
        <v>3000</v>
      </c>
      <c r="F136" s="21"/>
      <c r="G136" s="0" t="n">
        <f aca="false">IF(D136="Mono&amp;Dual",MIN(E136,F136)*2,MIN(E136,F136))</f>
        <v>3000</v>
      </c>
    </row>
    <row r="137" customFormat="false" ht="15" hidden="false" customHeight="false" outlineLevel="0" collapsed="false">
      <c r="A137" s="16" t="n">
        <v>1</v>
      </c>
      <c r="B137" s="17" t="n">
        <v>100</v>
      </c>
      <c r="C137" s="17" t="s">
        <v>130</v>
      </c>
      <c r="D137" s="17" t="s">
        <v>32</v>
      </c>
      <c r="E137" s="17" t="n">
        <v>3000</v>
      </c>
      <c r="F137" s="18"/>
      <c r="G137" s="0" t="n">
        <f aca="false">IF(D137="Mono&amp;Dual",MIN(E137,F137)*2,MIN(E137,F137))</f>
        <v>3000</v>
      </c>
    </row>
    <row r="138" customFormat="false" ht="15" hidden="false" customHeight="false" outlineLevel="0" collapsed="false">
      <c r="A138" s="19" t="n">
        <v>1</v>
      </c>
      <c r="B138" s="20" t="n">
        <v>100</v>
      </c>
      <c r="C138" s="20" t="s">
        <v>131</v>
      </c>
      <c r="D138" s="20" t="s">
        <v>32</v>
      </c>
      <c r="E138" s="20" t="n">
        <v>3000</v>
      </c>
      <c r="F138" s="21"/>
      <c r="G138" s="0" t="n">
        <f aca="false">IF(D138="Mono&amp;Dual",MIN(E138,F138)*2,MIN(E138,F138))</f>
        <v>3000</v>
      </c>
    </row>
    <row r="139" customFormat="false" ht="15" hidden="false" customHeight="false" outlineLevel="0" collapsed="false">
      <c r="A139" s="16" t="n">
        <v>1</v>
      </c>
      <c r="B139" s="17" t="n">
        <v>100</v>
      </c>
      <c r="C139" s="17" t="s">
        <v>132</v>
      </c>
      <c r="D139" s="17" t="s">
        <v>32</v>
      </c>
      <c r="E139" s="17" t="n">
        <v>3000</v>
      </c>
      <c r="F139" s="18"/>
      <c r="G139" s="0" t="n">
        <f aca="false">IF(D139="Mono&amp;Dual",MIN(E139,F139)*2,MIN(E139,F139))</f>
        <v>3000</v>
      </c>
    </row>
    <row r="140" customFormat="false" ht="15" hidden="false" customHeight="false" outlineLevel="0" collapsed="false">
      <c r="A140" s="19" t="n">
        <v>1</v>
      </c>
      <c r="B140" s="20" t="n">
        <v>100</v>
      </c>
      <c r="C140" s="20" t="s">
        <v>133</v>
      </c>
      <c r="D140" s="20" t="s">
        <v>32</v>
      </c>
      <c r="E140" s="20" t="n">
        <v>3000</v>
      </c>
      <c r="F140" s="21"/>
      <c r="G140" s="0" t="n">
        <f aca="false">IF(D140="Mono&amp;Dual",MIN(E140,F140)*2,MIN(E140,F140))</f>
        <v>3000</v>
      </c>
    </row>
    <row r="141" customFormat="false" ht="15" hidden="false" customHeight="false" outlineLevel="0" collapsed="false">
      <c r="A141" s="16" t="n">
        <v>1</v>
      </c>
      <c r="B141" s="17" t="n">
        <v>100</v>
      </c>
      <c r="C141" s="17" t="s">
        <v>134</v>
      </c>
      <c r="D141" s="17" t="s">
        <v>32</v>
      </c>
      <c r="E141" s="17" t="n">
        <v>3000</v>
      </c>
      <c r="F141" s="18"/>
      <c r="G141" s="0" t="n">
        <f aca="false">IF(D141="Mono&amp;Dual",MIN(E141,F141)*2,MIN(E141,F141))</f>
        <v>3000</v>
      </c>
    </row>
    <row r="142" customFormat="false" ht="15" hidden="false" customHeight="false" outlineLevel="0" collapsed="false">
      <c r="A142" s="19" t="n">
        <v>1</v>
      </c>
      <c r="B142" s="20" t="n">
        <v>100</v>
      </c>
      <c r="C142" s="20" t="s">
        <v>135</v>
      </c>
      <c r="D142" s="20" t="s">
        <v>32</v>
      </c>
      <c r="E142" s="20" t="n">
        <v>3000</v>
      </c>
      <c r="F142" s="21"/>
      <c r="G142" s="0" t="n">
        <f aca="false">IF(D142="Mono&amp;Dual",MIN(E142,F142)*2,MIN(E142,F142))</f>
        <v>3000</v>
      </c>
    </row>
    <row r="143" customFormat="false" ht="15" hidden="false" customHeight="false" outlineLevel="0" collapsed="false">
      <c r="A143" s="16" t="n">
        <v>1</v>
      </c>
      <c r="B143" s="17" t="n">
        <v>100</v>
      </c>
      <c r="C143" s="17" t="s">
        <v>136</v>
      </c>
      <c r="D143" s="17" t="s">
        <v>32</v>
      </c>
      <c r="E143" s="17" t="n">
        <v>3000</v>
      </c>
      <c r="F143" s="18"/>
      <c r="G143" s="0" t="n">
        <f aca="false">IF(D143="Mono&amp;Dual",MIN(E143,F143)*2,MIN(E143,F143))</f>
        <v>3000</v>
      </c>
    </row>
    <row r="144" customFormat="false" ht="15" hidden="false" customHeight="false" outlineLevel="0" collapsed="false">
      <c r="A144" s="19" t="n">
        <v>1</v>
      </c>
      <c r="B144" s="20" t="n">
        <v>100</v>
      </c>
      <c r="C144" s="20" t="s">
        <v>137</v>
      </c>
      <c r="D144" s="20" t="s">
        <v>32</v>
      </c>
      <c r="E144" s="20" t="n">
        <v>3000</v>
      </c>
      <c r="F144" s="21"/>
      <c r="G144" s="0" t="n">
        <f aca="false">IF(D144="Mono&amp;Dual",MIN(E144,F144)*2,MIN(E144,F144))</f>
        <v>3000</v>
      </c>
    </row>
    <row r="145" customFormat="false" ht="15" hidden="false" customHeight="false" outlineLevel="0" collapsed="false">
      <c r="A145" s="16" t="n">
        <v>1</v>
      </c>
      <c r="B145" s="17" t="n">
        <v>100</v>
      </c>
      <c r="C145" s="17" t="s">
        <v>138</v>
      </c>
      <c r="D145" s="17" t="s">
        <v>32</v>
      </c>
      <c r="E145" s="17" t="n">
        <v>3000</v>
      </c>
      <c r="F145" s="18"/>
      <c r="G145" s="0" t="n">
        <f aca="false">IF(D145="Mono&amp;Dual",MIN(E145,F145)*2,MIN(E145,F145))</f>
        <v>3000</v>
      </c>
    </row>
    <row r="146" customFormat="false" ht="15" hidden="false" customHeight="false" outlineLevel="0" collapsed="false">
      <c r="A146" s="19" t="n">
        <v>1</v>
      </c>
      <c r="B146" s="20" t="n">
        <v>100</v>
      </c>
      <c r="C146" s="20" t="s">
        <v>139</v>
      </c>
      <c r="D146" s="20" t="s">
        <v>32</v>
      </c>
      <c r="E146" s="20" t="n">
        <v>3000</v>
      </c>
      <c r="F146" s="21"/>
      <c r="G146" s="0" t="n">
        <f aca="false">IF(D146="Mono&amp;Dual",MIN(E146,F146)*2,MIN(E146,F146))</f>
        <v>3000</v>
      </c>
    </row>
    <row r="147" customFormat="false" ht="15" hidden="false" customHeight="false" outlineLevel="0" collapsed="false">
      <c r="A147" s="16" t="n">
        <v>1</v>
      </c>
      <c r="B147" s="17" t="n">
        <v>100</v>
      </c>
      <c r="C147" s="17" t="s">
        <v>140</v>
      </c>
      <c r="D147" s="17" t="s">
        <v>32</v>
      </c>
      <c r="E147" s="17" t="n">
        <v>3000</v>
      </c>
      <c r="F147" s="18"/>
      <c r="G147" s="0" t="n">
        <f aca="false">IF(D147="Mono&amp;Dual",MIN(E147,F147)*2,MIN(E147,F147))</f>
        <v>3000</v>
      </c>
    </row>
    <row r="148" customFormat="false" ht="15" hidden="false" customHeight="false" outlineLevel="0" collapsed="false">
      <c r="A148" s="19" t="n">
        <v>1</v>
      </c>
      <c r="B148" s="20" t="n">
        <v>100</v>
      </c>
      <c r="C148" s="20" t="s">
        <v>141</v>
      </c>
      <c r="D148" s="20" t="s">
        <v>32</v>
      </c>
      <c r="E148" s="20" t="n">
        <v>3000</v>
      </c>
      <c r="F148" s="21"/>
      <c r="G148" s="0" t="n">
        <f aca="false">IF(D148="Mono&amp;Dual",MIN(E148,F148)*2,MIN(E148,F148))</f>
        <v>3000</v>
      </c>
    </row>
    <row r="149" customFormat="false" ht="15" hidden="false" customHeight="false" outlineLevel="0" collapsed="false">
      <c r="A149" s="16" t="n">
        <v>1</v>
      </c>
      <c r="B149" s="17" t="n">
        <v>100</v>
      </c>
      <c r="C149" s="17" t="s">
        <v>142</v>
      </c>
      <c r="D149" s="17" t="s">
        <v>32</v>
      </c>
      <c r="E149" s="17" t="n">
        <v>3000</v>
      </c>
      <c r="F149" s="18"/>
      <c r="G149" s="0" t="n">
        <f aca="false">IF(D149="Mono&amp;Dual",MIN(E149,F149)*2,MIN(E149,F149))</f>
        <v>3000</v>
      </c>
    </row>
    <row r="150" customFormat="false" ht="15" hidden="false" customHeight="false" outlineLevel="0" collapsed="false">
      <c r="A150" s="19" t="n">
        <v>1</v>
      </c>
      <c r="B150" s="20" t="n">
        <v>100</v>
      </c>
      <c r="C150" s="20" t="s">
        <v>143</v>
      </c>
      <c r="D150" s="20" t="s">
        <v>32</v>
      </c>
      <c r="E150" s="20" t="n">
        <v>3000</v>
      </c>
      <c r="F150" s="21"/>
      <c r="G150" s="0" t="n">
        <f aca="false">IF(D150="Mono&amp;Dual",MIN(E150,F150)*2,MIN(E150,F150))</f>
        <v>3000</v>
      </c>
    </row>
    <row r="151" customFormat="false" ht="15" hidden="false" customHeight="false" outlineLevel="0" collapsed="false">
      <c r="A151" s="16" t="n">
        <v>1</v>
      </c>
      <c r="B151" s="17" t="n">
        <v>100</v>
      </c>
      <c r="C151" s="17" t="s">
        <v>144</v>
      </c>
      <c r="D151" s="17" t="s">
        <v>32</v>
      </c>
      <c r="E151" s="17" t="n">
        <v>3000</v>
      </c>
      <c r="F151" s="18"/>
      <c r="G151" s="0" t="n">
        <f aca="false">IF(D151="Mono&amp;Dual",MIN(E151,F151)*2,MIN(E151,F151))</f>
        <v>3000</v>
      </c>
    </row>
    <row r="152" customFormat="false" ht="15" hidden="false" customHeight="false" outlineLevel="0" collapsed="false">
      <c r="A152" s="19" t="n">
        <v>1</v>
      </c>
      <c r="B152" s="20" t="n">
        <v>100</v>
      </c>
      <c r="C152" s="20" t="s">
        <v>145</v>
      </c>
      <c r="D152" s="20" t="s">
        <v>32</v>
      </c>
      <c r="E152" s="20" t="n">
        <v>3000</v>
      </c>
      <c r="F152" s="21"/>
      <c r="G152" s="0" t="n">
        <f aca="false">IF(D152="Mono&amp;Dual",MIN(E152,F152)*2,MIN(E152,F152))</f>
        <v>3000</v>
      </c>
    </row>
    <row r="153" customFormat="false" ht="15" hidden="false" customHeight="false" outlineLevel="0" collapsed="false">
      <c r="A153" s="16" t="n">
        <v>1</v>
      </c>
      <c r="B153" s="17" t="n">
        <v>100</v>
      </c>
      <c r="C153" s="17" t="s">
        <v>146</v>
      </c>
      <c r="D153" s="17" t="s">
        <v>32</v>
      </c>
      <c r="E153" s="17" t="n">
        <v>3000</v>
      </c>
      <c r="F153" s="18"/>
      <c r="G153" s="0" t="n">
        <f aca="false">IF(D153="Mono&amp;Dual",MIN(E153,F153)*2,MIN(E153,F153))</f>
        <v>3000</v>
      </c>
    </row>
    <row r="154" customFormat="false" ht="15" hidden="false" customHeight="false" outlineLevel="0" collapsed="false">
      <c r="A154" s="19" t="n">
        <v>1</v>
      </c>
      <c r="B154" s="20" t="n">
        <v>100</v>
      </c>
      <c r="C154" s="20" t="s">
        <v>147</v>
      </c>
      <c r="D154" s="20" t="s">
        <v>32</v>
      </c>
      <c r="E154" s="20" t="n">
        <v>3000</v>
      </c>
      <c r="F154" s="21"/>
      <c r="G154" s="0" t="n">
        <f aca="false">IF(D154="Mono&amp;Dual",MIN(E154,F154)*2,MIN(E154,F154))</f>
        <v>3000</v>
      </c>
    </row>
    <row r="155" customFormat="false" ht="15" hidden="false" customHeight="false" outlineLevel="0" collapsed="false">
      <c r="A155" s="16" t="n">
        <v>1</v>
      </c>
      <c r="B155" s="17" t="n">
        <v>100</v>
      </c>
      <c r="C155" s="17" t="s">
        <v>148</v>
      </c>
      <c r="D155" s="17" t="s">
        <v>32</v>
      </c>
      <c r="E155" s="17" t="n">
        <v>3000</v>
      </c>
      <c r="F155" s="18"/>
      <c r="G155" s="0" t="n">
        <f aca="false">IF(D155="Mono&amp;Dual",MIN(E155,F155)*2,MIN(E155,F155))</f>
        <v>3000</v>
      </c>
    </row>
    <row r="156" customFormat="false" ht="15" hidden="false" customHeight="false" outlineLevel="0" collapsed="false">
      <c r="A156" s="19" t="n">
        <v>1</v>
      </c>
      <c r="B156" s="20" t="n">
        <v>100</v>
      </c>
      <c r="C156" s="20" t="s">
        <v>149</v>
      </c>
      <c r="D156" s="20" t="s">
        <v>32</v>
      </c>
      <c r="E156" s="20" t="n">
        <v>3000</v>
      </c>
      <c r="F156" s="21"/>
      <c r="G156" s="0" t="n">
        <f aca="false">IF(D156="Mono&amp;Dual",MIN(E156,F156)*2,MIN(E156,F156))</f>
        <v>3000</v>
      </c>
    </row>
    <row r="157" customFormat="false" ht="15" hidden="false" customHeight="false" outlineLevel="0" collapsed="false">
      <c r="A157" s="16" t="n">
        <v>1</v>
      </c>
      <c r="B157" s="17" t="n">
        <v>100</v>
      </c>
      <c r="C157" s="17" t="s">
        <v>150</v>
      </c>
      <c r="D157" s="17" t="s">
        <v>32</v>
      </c>
      <c r="E157" s="17" t="n">
        <v>3000</v>
      </c>
      <c r="F157" s="18"/>
      <c r="G157" s="0" t="n">
        <f aca="false">IF(D157="Mono&amp;Dual",MIN(E157,F157)*2,MIN(E157,F157))</f>
        <v>3000</v>
      </c>
    </row>
    <row r="158" customFormat="false" ht="15" hidden="false" customHeight="false" outlineLevel="0" collapsed="false">
      <c r="A158" s="19" t="n">
        <v>1</v>
      </c>
      <c r="B158" s="20" t="n">
        <v>100</v>
      </c>
      <c r="C158" s="20" t="s">
        <v>151</v>
      </c>
      <c r="D158" s="20" t="s">
        <v>32</v>
      </c>
      <c r="E158" s="20" t="n">
        <v>3000</v>
      </c>
      <c r="F158" s="21"/>
      <c r="G158" s="0" t="n">
        <f aca="false">IF(D158="Mono&amp;Dual",MIN(E158,F158)*2,MIN(E158,F158))</f>
        <v>3000</v>
      </c>
    </row>
    <row r="159" customFormat="false" ht="15" hidden="false" customHeight="false" outlineLevel="0" collapsed="false">
      <c r="A159" s="16" t="n">
        <v>1</v>
      </c>
      <c r="B159" s="17" t="n">
        <v>100</v>
      </c>
      <c r="C159" s="17" t="s">
        <v>152</v>
      </c>
      <c r="D159" s="17" t="s">
        <v>32</v>
      </c>
      <c r="E159" s="17" t="n">
        <v>3000</v>
      </c>
      <c r="F159" s="18"/>
      <c r="G159" s="0" t="n">
        <f aca="false">IF(D159="Mono&amp;Dual",MIN(E159,F159)*2,MIN(E159,F159))</f>
        <v>3000</v>
      </c>
    </row>
    <row r="160" customFormat="false" ht="15" hidden="false" customHeight="false" outlineLevel="0" collapsed="false">
      <c r="A160" s="19" t="n">
        <v>1</v>
      </c>
      <c r="B160" s="20" t="n">
        <v>100</v>
      </c>
      <c r="C160" s="20" t="s">
        <v>153</v>
      </c>
      <c r="D160" s="20" t="s">
        <v>32</v>
      </c>
      <c r="E160" s="20" t="n">
        <v>3000</v>
      </c>
      <c r="F160" s="21"/>
      <c r="G160" s="0" t="n">
        <f aca="false">IF(D160="Mono&amp;Dual",MIN(E160,F160)*2,MIN(E160,F160))</f>
        <v>3000</v>
      </c>
    </row>
    <row r="161" customFormat="false" ht="15" hidden="false" customHeight="false" outlineLevel="0" collapsed="false">
      <c r="A161" s="16" t="n">
        <v>1</v>
      </c>
      <c r="B161" s="17" t="n">
        <v>100</v>
      </c>
      <c r="C161" s="17" t="s">
        <v>154</v>
      </c>
      <c r="D161" s="17" t="s">
        <v>32</v>
      </c>
      <c r="E161" s="17" t="n">
        <v>3000</v>
      </c>
      <c r="F161" s="18"/>
      <c r="G161" s="0" t="n">
        <f aca="false">IF(D161="Mono&amp;Dual",MIN(E161,F161)*2,MIN(E161,F161))</f>
        <v>3000</v>
      </c>
    </row>
    <row r="162" customFormat="false" ht="15" hidden="false" customHeight="false" outlineLevel="0" collapsed="false">
      <c r="A162" s="19" t="n">
        <v>1</v>
      </c>
      <c r="B162" s="20" t="n">
        <v>100</v>
      </c>
      <c r="C162" s="20" t="s">
        <v>155</v>
      </c>
      <c r="D162" s="20" t="s">
        <v>32</v>
      </c>
      <c r="E162" s="20" t="n">
        <v>3000</v>
      </c>
      <c r="F162" s="21"/>
      <c r="G162" s="0" t="n">
        <f aca="false">IF(D162="Mono&amp;Dual",MIN(E162,F162)*2,MIN(E162,F162))</f>
        <v>3000</v>
      </c>
    </row>
    <row r="163" customFormat="false" ht="15" hidden="false" customHeight="false" outlineLevel="0" collapsed="false">
      <c r="A163" s="16" t="n">
        <v>1</v>
      </c>
      <c r="B163" s="17" t="n">
        <v>100</v>
      </c>
      <c r="C163" s="17" t="s">
        <v>156</v>
      </c>
      <c r="D163" s="17" t="s">
        <v>32</v>
      </c>
      <c r="E163" s="17" t="n">
        <v>3000</v>
      </c>
      <c r="F163" s="18"/>
      <c r="G163" s="0" t="n">
        <f aca="false">IF(D163="Mono&amp;Dual",MIN(E163,F163)*2,MIN(E163,F163))</f>
        <v>3000</v>
      </c>
    </row>
    <row r="164" customFormat="false" ht="15" hidden="false" customHeight="false" outlineLevel="0" collapsed="false">
      <c r="A164" s="19" t="n">
        <v>1</v>
      </c>
      <c r="B164" s="20" t="n">
        <v>100</v>
      </c>
      <c r="C164" s="20" t="s">
        <v>157</v>
      </c>
      <c r="D164" s="20" t="s">
        <v>32</v>
      </c>
      <c r="E164" s="20" t="n">
        <v>3000</v>
      </c>
      <c r="F164" s="21"/>
      <c r="G164" s="0" t="n">
        <f aca="false">IF(D164="Mono&amp;Dual",MIN(E164,F164)*2,MIN(E164,F164))</f>
        <v>3000</v>
      </c>
    </row>
    <row r="165" customFormat="false" ht="15" hidden="false" customHeight="false" outlineLevel="0" collapsed="false">
      <c r="A165" s="16" t="n">
        <v>1</v>
      </c>
      <c r="B165" s="17" t="n">
        <v>100</v>
      </c>
      <c r="C165" s="17" t="s">
        <v>158</v>
      </c>
      <c r="D165" s="17" t="s">
        <v>32</v>
      </c>
      <c r="E165" s="17" t="n">
        <v>3000</v>
      </c>
      <c r="F165" s="18"/>
      <c r="G165" s="0" t="n">
        <f aca="false">IF(D165="Mono&amp;Dual",MIN(E165,F165)*2,MIN(E165,F165))</f>
        <v>3000</v>
      </c>
    </row>
    <row r="166" customFormat="false" ht="15" hidden="false" customHeight="false" outlineLevel="0" collapsed="false">
      <c r="A166" s="19" t="n">
        <v>1</v>
      </c>
      <c r="B166" s="20" t="n">
        <v>100</v>
      </c>
      <c r="C166" s="20" t="s">
        <v>159</v>
      </c>
      <c r="D166" s="20" t="s">
        <v>32</v>
      </c>
      <c r="E166" s="20" t="n">
        <v>3000</v>
      </c>
      <c r="F166" s="21"/>
      <c r="G166" s="0" t="n">
        <f aca="false">IF(D166="Mono&amp;Dual",MIN(E166,F166)*2,MIN(E166,F166))</f>
        <v>3000</v>
      </c>
    </row>
    <row r="167" customFormat="false" ht="15" hidden="false" customHeight="false" outlineLevel="0" collapsed="false">
      <c r="A167" s="16" t="n">
        <v>1</v>
      </c>
      <c r="B167" s="17" t="n">
        <v>100</v>
      </c>
      <c r="C167" s="17" t="s">
        <v>160</v>
      </c>
      <c r="D167" s="17" t="s">
        <v>32</v>
      </c>
      <c r="E167" s="17" t="n">
        <v>3000</v>
      </c>
      <c r="F167" s="18"/>
      <c r="G167" s="0" t="n">
        <f aca="false">IF(D167="Mono&amp;Dual",MIN(E167,F167)*2,MIN(E167,F167))</f>
        <v>3000</v>
      </c>
    </row>
    <row r="168" customFormat="false" ht="15" hidden="false" customHeight="false" outlineLevel="0" collapsed="false">
      <c r="A168" s="19" t="n">
        <v>1</v>
      </c>
      <c r="B168" s="20" t="n">
        <v>100</v>
      </c>
      <c r="C168" s="20" t="s">
        <v>161</v>
      </c>
      <c r="D168" s="20" t="s">
        <v>32</v>
      </c>
      <c r="E168" s="20" t="n">
        <v>3000</v>
      </c>
      <c r="F168" s="21"/>
      <c r="G168" s="0" t="n">
        <f aca="false">IF(D168="Mono&amp;Dual",MIN(E168,F168)*2,MIN(E168,F168))</f>
        <v>3000</v>
      </c>
    </row>
    <row r="169" customFormat="false" ht="15" hidden="false" customHeight="false" outlineLevel="0" collapsed="false">
      <c r="A169" s="16" t="n">
        <v>1</v>
      </c>
      <c r="B169" s="17" t="n">
        <v>100</v>
      </c>
      <c r="C169" s="17" t="s">
        <v>162</v>
      </c>
      <c r="D169" s="17" t="s">
        <v>32</v>
      </c>
      <c r="E169" s="17" t="n">
        <v>3000</v>
      </c>
      <c r="F169" s="18"/>
      <c r="G169" s="0" t="n">
        <f aca="false">IF(D169="Mono&amp;Dual",MIN(E169,F169)*2,MIN(E169,F169))</f>
        <v>3000</v>
      </c>
    </row>
    <row r="170" customFormat="false" ht="15" hidden="false" customHeight="false" outlineLevel="0" collapsed="false">
      <c r="A170" s="19" t="n">
        <v>1</v>
      </c>
      <c r="B170" s="20" t="n">
        <v>100</v>
      </c>
      <c r="C170" s="20" t="s">
        <v>163</v>
      </c>
      <c r="D170" s="20" t="s">
        <v>32</v>
      </c>
      <c r="E170" s="20" t="n">
        <v>3000</v>
      </c>
      <c r="F170" s="21"/>
      <c r="G170" s="0" t="n">
        <f aca="false">IF(D170="Mono&amp;Dual",MIN(E170,F170)*2,MIN(E170,F170))</f>
        <v>3000</v>
      </c>
    </row>
    <row r="171" customFormat="false" ht="15" hidden="false" customHeight="false" outlineLevel="0" collapsed="false">
      <c r="A171" s="16" t="n">
        <v>1</v>
      </c>
      <c r="B171" s="17" t="n">
        <v>100</v>
      </c>
      <c r="C171" s="17" t="s">
        <v>164</v>
      </c>
      <c r="D171" s="17" t="s">
        <v>32</v>
      </c>
      <c r="E171" s="17" t="n">
        <v>3000</v>
      </c>
      <c r="F171" s="18"/>
      <c r="G171" s="0" t="n">
        <f aca="false">IF(D171="Mono&amp;Dual",MIN(E171,F171)*2,MIN(E171,F171))</f>
        <v>3000</v>
      </c>
    </row>
    <row r="172" customFormat="false" ht="15" hidden="false" customHeight="false" outlineLevel="0" collapsed="false">
      <c r="A172" s="19" t="n">
        <v>1</v>
      </c>
      <c r="B172" s="20" t="n">
        <v>100</v>
      </c>
      <c r="C172" s="20" t="s">
        <v>165</v>
      </c>
      <c r="D172" s="20" t="s">
        <v>32</v>
      </c>
      <c r="E172" s="20" t="n">
        <v>3000</v>
      </c>
      <c r="F172" s="21"/>
      <c r="G172" s="0" t="n">
        <f aca="false">IF(D172="Mono&amp;Dual",MIN(E172,F172)*2,MIN(E172,F172))</f>
        <v>3000</v>
      </c>
    </row>
    <row r="173" customFormat="false" ht="15" hidden="false" customHeight="false" outlineLevel="0" collapsed="false">
      <c r="A173" s="16" t="n">
        <v>1</v>
      </c>
      <c r="B173" s="17" t="n">
        <v>100</v>
      </c>
      <c r="C173" s="17" t="s">
        <v>166</v>
      </c>
      <c r="D173" s="17" t="s">
        <v>32</v>
      </c>
      <c r="E173" s="17" t="n">
        <v>3000</v>
      </c>
      <c r="F173" s="18"/>
      <c r="G173" s="0" t="n">
        <f aca="false">IF(D173="Mono&amp;Dual",MIN(E173,F173)*2,MIN(E173,F173))</f>
        <v>3000</v>
      </c>
    </row>
    <row r="174" customFormat="false" ht="15" hidden="false" customHeight="false" outlineLevel="0" collapsed="false">
      <c r="A174" s="19" t="n">
        <v>1</v>
      </c>
      <c r="B174" s="20" t="n">
        <v>100</v>
      </c>
      <c r="C174" s="20" t="s">
        <v>167</v>
      </c>
      <c r="D174" s="20" t="s">
        <v>32</v>
      </c>
      <c r="E174" s="20" t="n">
        <v>3000</v>
      </c>
      <c r="F174" s="21"/>
      <c r="G174" s="0" t="n">
        <f aca="false">IF(D174="Mono&amp;Dual",MIN(E174,F174)*2,MIN(E174,F174))</f>
        <v>3000</v>
      </c>
    </row>
    <row r="175" customFormat="false" ht="15" hidden="false" customHeight="false" outlineLevel="0" collapsed="false">
      <c r="A175" s="16" t="n">
        <v>1</v>
      </c>
      <c r="B175" s="17" t="n">
        <v>100</v>
      </c>
      <c r="C175" s="17" t="s">
        <v>168</v>
      </c>
      <c r="D175" s="17" t="s">
        <v>32</v>
      </c>
      <c r="E175" s="17" t="n">
        <v>3000</v>
      </c>
      <c r="F175" s="18"/>
      <c r="G175" s="0" t="n">
        <f aca="false">IF(D175="Mono&amp;Dual",MIN(E175,F175)*2,MIN(E175,F175))</f>
        <v>3000</v>
      </c>
    </row>
    <row r="176" customFormat="false" ht="15" hidden="false" customHeight="false" outlineLevel="0" collapsed="false">
      <c r="A176" s="19" t="n">
        <v>1</v>
      </c>
      <c r="B176" s="20" t="n">
        <v>100</v>
      </c>
      <c r="C176" s="20" t="s">
        <v>169</v>
      </c>
      <c r="D176" s="20" t="s">
        <v>32</v>
      </c>
      <c r="E176" s="20" t="n">
        <v>3000</v>
      </c>
      <c r="F176" s="21"/>
      <c r="G176" s="0" t="n">
        <f aca="false">IF(D176="Mono&amp;Dual",MIN(E176,F176)*2,MIN(E176,F176))</f>
        <v>3000</v>
      </c>
    </row>
    <row r="177" customFormat="false" ht="15" hidden="false" customHeight="false" outlineLevel="0" collapsed="false">
      <c r="A177" s="16" t="n">
        <v>1</v>
      </c>
      <c r="B177" s="17" t="n">
        <v>100</v>
      </c>
      <c r="C177" s="17" t="s">
        <v>170</v>
      </c>
      <c r="D177" s="17" t="s">
        <v>36</v>
      </c>
      <c r="E177" s="17"/>
      <c r="F177" s="18" t="n">
        <v>10000</v>
      </c>
      <c r="G177" s="0" t="n">
        <f aca="false">IF(D177="Mono&amp;Dual",MIN(E177,F177)*2,MIN(E177,F177))</f>
        <v>10000</v>
      </c>
    </row>
    <row r="178" customFormat="false" ht="15" hidden="false" customHeight="false" outlineLevel="0" collapsed="false">
      <c r="A178" s="19" t="n">
        <v>1</v>
      </c>
      <c r="B178" s="20" t="n">
        <v>100</v>
      </c>
      <c r="C178" s="20" t="s">
        <v>171</v>
      </c>
      <c r="D178" s="20" t="s">
        <v>36</v>
      </c>
      <c r="E178" s="20"/>
      <c r="F178" s="21" t="n">
        <v>10000</v>
      </c>
      <c r="G178" s="0" t="n">
        <f aca="false">IF(D178="Mono&amp;Dual",MIN(E178,F178)*2,MIN(E178,F178))</f>
        <v>10000</v>
      </c>
    </row>
    <row r="179" customFormat="false" ht="15" hidden="false" customHeight="false" outlineLevel="0" collapsed="false">
      <c r="A179" s="16" t="n">
        <v>1</v>
      </c>
      <c r="B179" s="17" t="n">
        <v>100</v>
      </c>
      <c r="C179" s="17" t="s">
        <v>172</v>
      </c>
      <c r="D179" s="17" t="s">
        <v>36</v>
      </c>
      <c r="E179" s="17"/>
      <c r="F179" s="18" t="n">
        <v>10000</v>
      </c>
      <c r="G179" s="0" t="n">
        <f aca="false">IF(D179="Mono&amp;Dual",MIN(E179,F179)*2,MIN(E179,F179))</f>
        <v>10000</v>
      </c>
    </row>
    <row r="180" customFormat="false" ht="15" hidden="false" customHeight="false" outlineLevel="0" collapsed="false">
      <c r="A180" s="19" t="n">
        <v>1</v>
      </c>
      <c r="B180" s="20" t="n">
        <v>100</v>
      </c>
      <c r="C180" s="20" t="s">
        <v>173</v>
      </c>
      <c r="D180" s="20" t="s">
        <v>36</v>
      </c>
      <c r="E180" s="20"/>
      <c r="F180" s="21" t="n">
        <v>10000</v>
      </c>
      <c r="G180" s="0" t="n">
        <f aca="false">IF(D180="Mono&amp;Dual",MIN(E180,F180)*2,MIN(E180,F180))</f>
        <v>10000</v>
      </c>
    </row>
    <row r="181" customFormat="false" ht="15" hidden="false" customHeight="false" outlineLevel="0" collapsed="false">
      <c r="A181" s="16" t="n">
        <v>1</v>
      </c>
      <c r="B181" s="17" t="n">
        <v>100</v>
      </c>
      <c r="C181" s="17" t="s">
        <v>174</v>
      </c>
      <c r="D181" s="17" t="s">
        <v>36</v>
      </c>
      <c r="E181" s="17"/>
      <c r="F181" s="18" t="n">
        <v>10000</v>
      </c>
      <c r="G181" s="0" t="n">
        <f aca="false">IF(D181="Mono&amp;Dual",MIN(E181,F181)*2,MIN(E181,F181))</f>
        <v>10000</v>
      </c>
    </row>
    <row r="182" customFormat="false" ht="15" hidden="false" customHeight="false" outlineLevel="0" collapsed="false">
      <c r="A182" s="19" t="n">
        <v>1</v>
      </c>
      <c r="B182" s="20" t="n">
        <v>100</v>
      </c>
      <c r="C182" s="20" t="s">
        <v>175</v>
      </c>
      <c r="D182" s="20" t="s">
        <v>36</v>
      </c>
      <c r="E182" s="20"/>
      <c r="F182" s="21" t="n">
        <v>10000</v>
      </c>
      <c r="G182" s="0" t="n">
        <f aca="false">IF(D182="Mono&amp;Dual",MIN(E182,F182)*2,MIN(E182,F182))</f>
        <v>10000</v>
      </c>
    </row>
    <row r="183" customFormat="false" ht="15" hidden="false" customHeight="false" outlineLevel="0" collapsed="false">
      <c r="A183" s="16" t="n">
        <v>1</v>
      </c>
      <c r="B183" s="17" t="n">
        <v>100</v>
      </c>
      <c r="C183" s="17" t="s">
        <v>176</v>
      </c>
      <c r="D183" s="17" t="s">
        <v>36</v>
      </c>
      <c r="E183" s="17"/>
      <c r="F183" s="18" t="n">
        <v>10000</v>
      </c>
      <c r="G183" s="0" t="n">
        <f aca="false">IF(D183="Mono&amp;Dual",MIN(E183,F183)*2,MIN(E183,F183))</f>
        <v>10000</v>
      </c>
    </row>
    <row r="184" customFormat="false" ht="15" hidden="false" customHeight="false" outlineLevel="0" collapsed="false">
      <c r="A184" s="19" t="n">
        <v>1</v>
      </c>
      <c r="B184" s="20" t="n">
        <v>100</v>
      </c>
      <c r="C184" s="20" t="s">
        <v>177</v>
      </c>
      <c r="D184" s="20" t="s">
        <v>36</v>
      </c>
      <c r="E184" s="20"/>
      <c r="F184" s="21" t="n">
        <v>10000</v>
      </c>
      <c r="G184" s="0" t="n">
        <f aca="false">IF(D184="Mono&amp;Dual",MIN(E184,F184)*2,MIN(E184,F184))</f>
        <v>10000</v>
      </c>
    </row>
    <row r="185" customFormat="false" ht="15" hidden="false" customHeight="false" outlineLevel="0" collapsed="false">
      <c r="A185" s="16" t="n">
        <v>1</v>
      </c>
      <c r="B185" s="17" t="n">
        <v>100</v>
      </c>
      <c r="C185" s="17" t="s">
        <v>178</v>
      </c>
      <c r="D185" s="17" t="s">
        <v>36</v>
      </c>
      <c r="E185" s="17"/>
      <c r="F185" s="18" t="n">
        <v>10000</v>
      </c>
      <c r="G185" s="0" t="n">
        <f aca="false">IF(D185="Mono&amp;Dual",MIN(E185,F185)*2,MIN(E185,F185))</f>
        <v>10000</v>
      </c>
    </row>
    <row r="186" customFormat="false" ht="15" hidden="false" customHeight="false" outlineLevel="0" collapsed="false">
      <c r="A186" s="19" t="n">
        <v>1</v>
      </c>
      <c r="B186" s="20" t="n">
        <v>100</v>
      </c>
      <c r="C186" s="20" t="s">
        <v>179</v>
      </c>
      <c r="D186" s="20" t="s">
        <v>36</v>
      </c>
      <c r="E186" s="20"/>
      <c r="F186" s="21" t="n">
        <v>10000</v>
      </c>
      <c r="G186" s="0" t="n">
        <f aca="false">IF(D186="Mono&amp;Dual",MIN(E186,F186)*2,MIN(E186,F186))</f>
        <v>10000</v>
      </c>
    </row>
    <row r="187" customFormat="false" ht="15" hidden="false" customHeight="false" outlineLevel="0" collapsed="false">
      <c r="A187" s="16" t="n">
        <v>1</v>
      </c>
      <c r="B187" s="17" t="n">
        <v>100</v>
      </c>
      <c r="C187" s="17" t="s">
        <v>180</v>
      </c>
      <c r="D187" s="17" t="s">
        <v>36</v>
      </c>
      <c r="E187" s="17"/>
      <c r="F187" s="18" t="n">
        <v>10000</v>
      </c>
      <c r="G187" s="0" t="n">
        <f aca="false">IF(D187="Mono&amp;Dual",MIN(E187,F187)*2,MIN(E187,F187))</f>
        <v>10000</v>
      </c>
    </row>
    <row r="188" customFormat="false" ht="15" hidden="false" customHeight="false" outlineLevel="0" collapsed="false">
      <c r="A188" s="19" t="n">
        <v>1</v>
      </c>
      <c r="B188" s="20" t="n">
        <v>100</v>
      </c>
      <c r="C188" s="20" t="s">
        <v>181</v>
      </c>
      <c r="D188" s="20" t="s">
        <v>36</v>
      </c>
      <c r="E188" s="20"/>
      <c r="F188" s="21" t="n">
        <v>10000</v>
      </c>
      <c r="G188" s="0" t="n">
        <f aca="false">IF(D188="Mono&amp;Dual",MIN(E188,F188)*2,MIN(E188,F188))</f>
        <v>10000</v>
      </c>
    </row>
    <row r="189" customFormat="false" ht="15" hidden="false" customHeight="false" outlineLevel="0" collapsed="false">
      <c r="A189" s="16" t="n">
        <v>1</v>
      </c>
      <c r="B189" s="17" t="n">
        <v>100</v>
      </c>
      <c r="C189" s="17" t="s">
        <v>182</v>
      </c>
      <c r="D189" s="17" t="s">
        <v>36</v>
      </c>
      <c r="E189" s="17"/>
      <c r="F189" s="18" t="n">
        <v>10000</v>
      </c>
      <c r="G189" s="0" t="n">
        <f aca="false">IF(D189="Mono&amp;Dual",MIN(E189,F189)*2,MIN(E189,F189))</f>
        <v>10000</v>
      </c>
    </row>
    <row r="190" customFormat="false" ht="15" hidden="false" customHeight="false" outlineLevel="0" collapsed="false">
      <c r="A190" s="19" t="n">
        <v>1</v>
      </c>
      <c r="B190" s="20" t="n">
        <v>100</v>
      </c>
      <c r="C190" s="20" t="s">
        <v>183</v>
      </c>
      <c r="D190" s="20" t="s">
        <v>36</v>
      </c>
      <c r="E190" s="20"/>
      <c r="F190" s="21" t="n">
        <v>10000</v>
      </c>
      <c r="G190" s="0" t="n">
        <f aca="false">IF(D190="Mono&amp;Dual",MIN(E190,F190)*2,MIN(E190,F190))</f>
        <v>10000</v>
      </c>
    </row>
    <row r="191" customFormat="false" ht="15" hidden="false" customHeight="false" outlineLevel="0" collapsed="false">
      <c r="A191" s="16" t="n">
        <v>1</v>
      </c>
      <c r="B191" s="17" t="n">
        <v>100</v>
      </c>
      <c r="C191" s="17" t="s">
        <v>184</v>
      </c>
      <c r="D191" s="17" t="s">
        <v>36</v>
      </c>
      <c r="E191" s="17"/>
      <c r="F191" s="18" t="n">
        <v>10000</v>
      </c>
      <c r="G191" s="0" t="n">
        <f aca="false">IF(D191="Mono&amp;Dual",MIN(E191,F191)*2,MIN(E191,F191))</f>
        <v>10000</v>
      </c>
    </row>
    <row r="192" customFormat="false" ht="15" hidden="false" customHeight="false" outlineLevel="0" collapsed="false">
      <c r="A192" s="19" t="n">
        <v>1</v>
      </c>
      <c r="B192" s="20" t="n">
        <v>100</v>
      </c>
      <c r="C192" s="20" t="s">
        <v>185</v>
      </c>
      <c r="D192" s="20" t="s">
        <v>36</v>
      </c>
      <c r="E192" s="20"/>
      <c r="F192" s="21" t="n">
        <v>10000</v>
      </c>
      <c r="G192" s="0" t="n">
        <f aca="false">IF(D192="Mono&amp;Dual",MIN(E192,F192)*2,MIN(E192,F192))</f>
        <v>10000</v>
      </c>
    </row>
    <row r="193" customFormat="false" ht="15" hidden="false" customHeight="false" outlineLevel="0" collapsed="false">
      <c r="A193" s="16" t="n">
        <v>1</v>
      </c>
      <c r="B193" s="17" t="n">
        <v>100</v>
      </c>
      <c r="C193" s="17" t="s">
        <v>186</v>
      </c>
      <c r="D193" s="17" t="s">
        <v>36</v>
      </c>
      <c r="E193" s="17"/>
      <c r="F193" s="18" t="n">
        <v>10000</v>
      </c>
      <c r="G193" s="0" t="n">
        <f aca="false">IF(D193="Mono&amp;Dual",MIN(E193,F193)*2,MIN(E193,F193))</f>
        <v>10000</v>
      </c>
    </row>
    <row r="194" customFormat="false" ht="15" hidden="false" customHeight="false" outlineLevel="0" collapsed="false">
      <c r="A194" s="19" t="n">
        <v>1</v>
      </c>
      <c r="B194" s="20" t="n">
        <v>100</v>
      </c>
      <c r="C194" s="20" t="s">
        <v>187</v>
      </c>
      <c r="D194" s="20" t="s">
        <v>36</v>
      </c>
      <c r="E194" s="20"/>
      <c r="F194" s="21" t="n">
        <v>10000</v>
      </c>
      <c r="G194" s="0" t="n">
        <f aca="false">IF(D194="Mono&amp;Dual",MIN(E194,F194)*2,MIN(E194,F194))</f>
        <v>10000</v>
      </c>
    </row>
    <row r="195" customFormat="false" ht="15" hidden="false" customHeight="false" outlineLevel="0" collapsed="false">
      <c r="A195" s="16" t="n">
        <v>1</v>
      </c>
      <c r="B195" s="17" t="n">
        <v>100</v>
      </c>
      <c r="C195" s="17" t="s">
        <v>188</v>
      </c>
      <c r="D195" s="17" t="s">
        <v>36</v>
      </c>
      <c r="E195" s="17"/>
      <c r="F195" s="18" t="n">
        <v>10000</v>
      </c>
      <c r="G195" s="0" t="n">
        <f aca="false">IF(D195="Mono&amp;Dual",MIN(E195,F195)*2,MIN(E195,F195))</f>
        <v>10000</v>
      </c>
    </row>
    <row r="196" customFormat="false" ht="15" hidden="false" customHeight="false" outlineLevel="0" collapsed="false">
      <c r="A196" s="19" t="n">
        <v>1</v>
      </c>
      <c r="B196" s="20" t="n">
        <v>100</v>
      </c>
      <c r="C196" s="20" t="s">
        <v>189</v>
      </c>
      <c r="D196" s="20" t="s">
        <v>36</v>
      </c>
      <c r="E196" s="20"/>
      <c r="F196" s="21" t="n">
        <v>10000</v>
      </c>
      <c r="G196" s="0" t="n">
        <f aca="false">IF(D196="Mono&amp;Dual",MIN(E196,F196)*2,MIN(E196,F196))</f>
        <v>10000</v>
      </c>
    </row>
    <row r="197" customFormat="false" ht="15" hidden="false" customHeight="false" outlineLevel="0" collapsed="false">
      <c r="A197" s="16" t="n">
        <v>1</v>
      </c>
      <c r="B197" s="17" t="n">
        <v>100</v>
      </c>
      <c r="C197" s="17" t="s">
        <v>190</v>
      </c>
      <c r="D197" s="17" t="s">
        <v>36</v>
      </c>
      <c r="E197" s="17"/>
      <c r="F197" s="18" t="n">
        <v>10000</v>
      </c>
      <c r="G197" s="0" t="n">
        <f aca="false">IF(D197="Mono&amp;Dual",MIN(E197,F197)*2,MIN(E197,F197))</f>
        <v>10000</v>
      </c>
    </row>
    <row r="198" customFormat="false" ht="15" hidden="false" customHeight="false" outlineLevel="0" collapsed="false">
      <c r="A198" s="19" t="n">
        <v>1</v>
      </c>
      <c r="B198" s="20" t="n">
        <v>100</v>
      </c>
      <c r="C198" s="20" t="s">
        <v>191</v>
      </c>
      <c r="D198" s="20" t="s">
        <v>36</v>
      </c>
      <c r="E198" s="20"/>
      <c r="F198" s="21" t="n">
        <v>10000</v>
      </c>
      <c r="G198" s="0" t="n">
        <f aca="false">IF(D198="Mono&amp;Dual",MIN(E198,F198)*2,MIN(E198,F198))</f>
        <v>10000</v>
      </c>
    </row>
    <row r="199" customFormat="false" ht="15" hidden="false" customHeight="false" outlineLevel="0" collapsed="false">
      <c r="A199" s="16" t="n">
        <v>1</v>
      </c>
      <c r="B199" s="17" t="n">
        <v>100</v>
      </c>
      <c r="C199" s="17" t="s">
        <v>192</v>
      </c>
      <c r="D199" s="17" t="s">
        <v>36</v>
      </c>
      <c r="E199" s="17"/>
      <c r="F199" s="18" t="n">
        <v>10000</v>
      </c>
      <c r="G199" s="0" t="n">
        <f aca="false">IF(D199="Mono&amp;Dual",MIN(E199,F199)*2,MIN(E199,F199))</f>
        <v>10000</v>
      </c>
    </row>
    <row r="200" customFormat="false" ht="15" hidden="false" customHeight="false" outlineLevel="0" collapsed="false">
      <c r="A200" s="19" t="n">
        <v>1</v>
      </c>
      <c r="B200" s="20" t="n">
        <v>100</v>
      </c>
      <c r="C200" s="20" t="s">
        <v>193</v>
      </c>
      <c r="D200" s="20" t="s">
        <v>36</v>
      </c>
      <c r="E200" s="20"/>
      <c r="F200" s="21" t="n">
        <v>10000</v>
      </c>
      <c r="G200" s="0" t="n">
        <f aca="false">IF(D200="Mono&amp;Dual",MIN(E200,F200)*2,MIN(E200,F200))</f>
        <v>10000</v>
      </c>
    </row>
    <row r="201" customFormat="false" ht="15" hidden="false" customHeight="false" outlineLevel="0" collapsed="false">
      <c r="A201" s="16" t="n">
        <v>1</v>
      </c>
      <c r="B201" s="17" t="n">
        <v>100</v>
      </c>
      <c r="C201" s="17" t="s">
        <v>194</v>
      </c>
      <c r="D201" s="17" t="s">
        <v>36</v>
      </c>
      <c r="E201" s="17"/>
      <c r="F201" s="18" t="n">
        <v>10000</v>
      </c>
      <c r="G201" s="0" t="n">
        <f aca="false">IF(D201="Mono&amp;Dual",MIN(E201,F201)*2,MIN(E201,F201))</f>
        <v>10000</v>
      </c>
    </row>
    <row r="202" customFormat="false" ht="15" hidden="false" customHeight="false" outlineLevel="0" collapsed="false">
      <c r="A202" s="19" t="n">
        <v>1</v>
      </c>
      <c r="B202" s="20" t="n">
        <v>100</v>
      </c>
      <c r="C202" s="20" t="s">
        <v>195</v>
      </c>
      <c r="D202" s="20" t="s">
        <v>36</v>
      </c>
      <c r="E202" s="20"/>
      <c r="F202" s="21" t="n">
        <v>10000</v>
      </c>
      <c r="G202" s="0" t="n">
        <f aca="false">IF(D202="Mono&amp;Dual",MIN(E202,F202)*2,MIN(E202,F202))</f>
        <v>10000</v>
      </c>
    </row>
    <row r="203" customFormat="false" ht="15" hidden="false" customHeight="false" outlineLevel="0" collapsed="false">
      <c r="A203" s="16" t="n">
        <v>1</v>
      </c>
      <c r="B203" s="17" t="n">
        <v>100</v>
      </c>
      <c r="C203" s="17" t="s">
        <v>196</v>
      </c>
      <c r="D203" s="17" t="s">
        <v>36</v>
      </c>
      <c r="E203" s="17"/>
      <c r="F203" s="18" t="n">
        <v>10000</v>
      </c>
      <c r="G203" s="0" t="n">
        <f aca="false">IF(D203="Mono&amp;Dual",MIN(E203,F203)*2,MIN(E203,F203))</f>
        <v>10000</v>
      </c>
    </row>
    <row r="204" customFormat="false" ht="15" hidden="false" customHeight="false" outlineLevel="0" collapsed="false">
      <c r="A204" s="19" t="n">
        <v>1</v>
      </c>
      <c r="B204" s="20" t="n">
        <v>100</v>
      </c>
      <c r="C204" s="20" t="s">
        <v>197</v>
      </c>
      <c r="D204" s="20" t="s">
        <v>36</v>
      </c>
      <c r="E204" s="20"/>
      <c r="F204" s="21" t="n">
        <v>10000</v>
      </c>
      <c r="G204" s="0" t="n">
        <f aca="false">IF(D204="Mono&amp;Dual",MIN(E204,F204)*2,MIN(E204,F204))</f>
        <v>10000</v>
      </c>
    </row>
    <row r="205" customFormat="false" ht="15" hidden="false" customHeight="false" outlineLevel="0" collapsed="false">
      <c r="A205" s="16" t="n">
        <v>1</v>
      </c>
      <c r="B205" s="17" t="n">
        <v>100</v>
      </c>
      <c r="C205" s="17" t="s">
        <v>198</v>
      </c>
      <c r="D205" s="17" t="s">
        <v>36</v>
      </c>
      <c r="E205" s="17"/>
      <c r="F205" s="18" t="n">
        <v>10000</v>
      </c>
      <c r="G205" s="0" t="n">
        <f aca="false">IF(D205="Mono&amp;Dual",MIN(E205,F205)*2,MIN(E205,F205))</f>
        <v>10000</v>
      </c>
    </row>
    <row r="206" customFormat="false" ht="15" hidden="false" customHeight="false" outlineLevel="0" collapsed="false">
      <c r="A206" s="19" t="n">
        <v>1</v>
      </c>
      <c r="B206" s="20" t="n">
        <v>100</v>
      </c>
      <c r="C206" s="20" t="s">
        <v>199</v>
      </c>
      <c r="D206" s="20" t="s">
        <v>36</v>
      </c>
      <c r="E206" s="20"/>
      <c r="F206" s="21" t="n">
        <v>10000</v>
      </c>
      <c r="G206" s="0" t="n">
        <f aca="false">IF(D206="Mono&amp;Dual",MIN(E206,F206)*2,MIN(E206,F206))</f>
        <v>10000</v>
      </c>
    </row>
    <row r="207" customFormat="false" ht="15" hidden="false" customHeight="false" outlineLevel="0" collapsed="false">
      <c r="A207" s="16" t="n">
        <v>1</v>
      </c>
      <c r="B207" s="17" t="n">
        <v>100</v>
      </c>
      <c r="C207" s="17" t="s">
        <v>200</v>
      </c>
      <c r="D207" s="17" t="s">
        <v>36</v>
      </c>
      <c r="E207" s="17"/>
      <c r="F207" s="18" t="n">
        <v>10000</v>
      </c>
      <c r="G207" s="0" t="n">
        <f aca="false">IF(D207="Mono&amp;Dual",MIN(E207,F207)*2,MIN(E207,F207))</f>
        <v>10000</v>
      </c>
    </row>
    <row r="208" customFormat="false" ht="15" hidden="false" customHeight="false" outlineLevel="0" collapsed="false">
      <c r="A208" s="19" t="n">
        <v>1</v>
      </c>
      <c r="B208" s="20" t="n">
        <v>100</v>
      </c>
      <c r="C208" s="20" t="s">
        <v>201</v>
      </c>
      <c r="D208" s="20" t="s">
        <v>36</v>
      </c>
      <c r="E208" s="20"/>
      <c r="F208" s="21" t="n">
        <v>10000</v>
      </c>
      <c r="G208" s="0" t="n">
        <f aca="false">IF(D208="Mono&amp;Dual",MIN(E208,F208)*2,MIN(E208,F208))</f>
        <v>10000</v>
      </c>
    </row>
    <row r="209" customFormat="false" ht="15" hidden="false" customHeight="false" outlineLevel="0" collapsed="false">
      <c r="A209" s="16" t="n">
        <v>1</v>
      </c>
      <c r="B209" s="17" t="n">
        <v>100</v>
      </c>
      <c r="C209" s="17" t="s">
        <v>202</v>
      </c>
      <c r="D209" s="17" t="s">
        <v>36</v>
      </c>
      <c r="E209" s="17"/>
      <c r="F209" s="18" t="n">
        <v>10000</v>
      </c>
      <c r="G209" s="0" t="n">
        <f aca="false">IF(D209="Mono&amp;Dual",MIN(E209,F209)*2,MIN(E209,F209))</f>
        <v>10000</v>
      </c>
    </row>
    <row r="210" customFormat="false" ht="15" hidden="false" customHeight="false" outlineLevel="0" collapsed="false">
      <c r="A210" s="19" t="n">
        <v>1</v>
      </c>
      <c r="B210" s="20" t="n">
        <v>100</v>
      </c>
      <c r="C210" s="20" t="s">
        <v>203</v>
      </c>
      <c r="D210" s="20" t="s">
        <v>36</v>
      </c>
      <c r="E210" s="20"/>
      <c r="F210" s="21" t="n">
        <v>10000</v>
      </c>
      <c r="G210" s="0" t="n">
        <f aca="false">IF(D210="Mono&amp;Dual",MIN(E210,F210)*2,MIN(E210,F210))</f>
        <v>10000</v>
      </c>
    </row>
    <row r="211" customFormat="false" ht="15" hidden="false" customHeight="false" outlineLevel="0" collapsed="false">
      <c r="A211" s="16" t="n">
        <v>1</v>
      </c>
      <c r="B211" s="17" t="n">
        <v>100</v>
      </c>
      <c r="C211" s="17" t="s">
        <v>204</v>
      </c>
      <c r="D211" s="17" t="s">
        <v>36</v>
      </c>
      <c r="E211" s="17"/>
      <c r="F211" s="18" t="n">
        <v>10000</v>
      </c>
      <c r="G211" s="0" t="n">
        <f aca="false">IF(D211="Mono&amp;Dual",MIN(E211,F211)*2,MIN(E211,F211))</f>
        <v>10000</v>
      </c>
    </row>
    <row r="212" customFormat="false" ht="15" hidden="false" customHeight="false" outlineLevel="0" collapsed="false">
      <c r="A212" s="19" t="n">
        <v>1</v>
      </c>
      <c r="B212" s="20" t="n">
        <v>100</v>
      </c>
      <c r="C212" s="20" t="s">
        <v>205</v>
      </c>
      <c r="D212" s="20" t="s">
        <v>36</v>
      </c>
      <c r="E212" s="20"/>
      <c r="F212" s="21" t="n">
        <v>10000</v>
      </c>
      <c r="G212" s="0" t="n">
        <f aca="false">IF(D212="Mono&amp;Dual",MIN(E212,F212)*2,MIN(E212,F212))</f>
        <v>10000</v>
      </c>
    </row>
    <row r="213" customFormat="false" ht="15" hidden="false" customHeight="false" outlineLevel="0" collapsed="false">
      <c r="A213" s="16" t="n">
        <v>1</v>
      </c>
      <c r="B213" s="17" t="n">
        <v>100</v>
      </c>
      <c r="C213" s="17" t="s">
        <v>206</v>
      </c>
      <c r="D213" s="17" t="s">
        <v>36</v>
      </c>
      <c r="E213" s="17"/>
      <c r="F213" s="18" t="n">
        <v>10000</v>
      </c>
      <c r="G213" s="0" t="n">
        <f aca="false">IF(D213="Mono&amp;Dual",MIN(E213,F213)*2,MIN(E213,F213))</f>
        <v>10000</v>
      </c>
    </row>
    <row r="214" customFormat="false" ht="15" hidden="false" customHeight="false" outlineLevel="0" collapsed="false">
      <c r="A214" s="19" t="n">
        <v>1</v>
      </c>
      <c r="B214" s="20" t="n">
        <v>100</v>
      </c>
      <c r="C214" s="20" t="s">
        <v>207</v>
      </c>
      <c r="D214" s="20" t="s">
        <v>36</v>
      </c>
      <c r="E214" s="20"/>
      <c r="F214" s="21" t="n">
        <v>10000</v>
      </c>
      <c r="G214" s="0" t="n">
        <f aca="false">IF(D214="Mono&amp;Dual",MIN(E214,F214)*2,MIN(E214,F214))</f>
        <v>10000</v>
      </c>
    </row>
    <row r="215" customFormat="false" ht="15" hidden="false" customHeight="false" outlineLevel="0" collapsed="false">
      <c r="A215" s="16" t="n">
        <v>1</v>
      </c>
      <c r="B215" s="17" t="n">
        <v>100</v>
      </c>
      <c r="C215" s="17" t="s">
        <v>208</v>
      </c>
      <c r="D215" s="17" t="s">
        <v>36</v>
      </c>
      <c r="E215" s="17"/>
      <c r="F215" s="18" t="n">
        <v>10000</v>
      </c>
      <c r="G215" s="0" t="n">
        <f aca="false">IF(D215="Mono&amp;Dual",MIN(E215,F215)*2,MIN(E215,F215))</f>
        <v>10000</v>
      </c>
    </row>
    <row r="216" customFormat="false" ht="15" hidden="false" customHeight="false" outlineLevel="0" collapsed="false">
      <c r="A216" s="19" t="n">
        <v>1</v>
      </c>
      <c r="B216" s="20" t="n">
        <v>100</v>
      </c>
      <c r="C216" s="20" t="s">
        <v>209</v>
      </c>
      <c r="D216" s="20" t="s">
        <v>36</v>
      </c>
      <c r="E216" s="20"/>
      <c r="F216" s="21" t="n">
        <v>10000</v>
      </c>
      <c r="G216" s="0" t="n">
        <f aca="false">IF(D216="Mono&amp;Dual",MIN(E216,F216)*2,MIN(E216,F216))</f>
        <v>10000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J3" activeCellId="0" sqref="J3"/>
    </sheetView>
  </sheetViews>
  <sheetFormatPr defaultColWidth="8.6171875" defaultRowHeight="15" customHeight="false" zeroHeight="false" outlineLevelRow="0" outlineLevelCol="0"/>
  <cols>
    <col collapsed="false" customWidth="true" hidden="false" outlineLevel="0" max="7" min="7" style="0" width="16.29"/>
    <col collapsed="false" customWidth="true" hidden="false" outlineLevel="0" max="8" min="8" style="0" width="9"/>
    <col collapsed="false" customWidth="true" hidden="false" outlineLevel="0" max="10" min="10" style="0" width="10.71"/>
    <col collapsed="false" customWidth="true" hidden="false" outlineLevel="0" max="11" min="11" style="0" width="12.71"/>
  </cols>
  <sheetData>
    <row r="1" customFormat="false" ht="15" hidden="false" customHeight="false" outlineLevel="0" collapsed="false">
      <c r="A1" s="13" t="s">
        <v>1</v>
      </c>
      <c r="B1" s="14" t="s">
        <v>25</v>
      </c>
      <c r="C1" s="14" t="s">
        <v>26</v>
      </c>
      <c r="D1" s="14" t="s">
        <v>27</v>
      </c>
      <c r="E1" s="14" t="s">
        <v>28</v>
      </c>
      <c r="F1" s="15" t="s">
        <v>29</v>
      </c>
      <c r="G1" s="0" t="s">
        <v>30</v>
      </c>
    </row>
    <row r="2" customFormat="false" ht="15" hidden="false" customHeight="false" outlineLevel="0" collapsed="false">
      <c r="A2" s="19" t="n">
        <v>2</v>
      </c>
      <c r="B2" s="20" t="n">
        <v>5</v>
      </c>
      <c r="C2" s="20" t="s">
        <v>210</v>
      </c>
      <c r="D2" s="20" t="s">
        <v>211</v>
      </c>
      <c r="E2" s="20" t="n">
        <v>160000</v>
      </c>
      <c r="F2" s="21" t="n">
        <v>20000</v>
      </c>
      <c r="G2" s="0" t="n">
        <f aca="false">IF(D2="Mono&amp;Dual",MIN(E2,F2)*2,MIN(E2,F2))</f>
        <v>40000</v>
      </c>
      <c r="J2" s="1" t="s">
        <v>0</v>
      </c>
      <c r="K2" s="1" t="s">
        <v>33</v>
      </c>
    </row>
    <row r="3" customFormat="false" ht="15" hidden="false" customHeight="false" outlineLevel="0" collapsed="false">
      <c r="A3" s="16" t="n">
        <v>2</v>
      </c>
      <c r="B3" s="17" t="n">
        <v>5</v>
      </c>
      <c r="C3" s="17" t="s">
        <v>212</v>
      </c>
      <c r="D3" s="17" t="s">
        <v>36</v>
      </c>
      <c r="E3" s="17"/>
      <c r="F3" s="18" t="n">
        <v>20000</v>
      </c>
      <c r="G3" s="0" t="n">
        <f aca="false">IF(D3="Mono&amp;Dual",MIN(E3,F3)*2,MIN(E3,F3))</f>
        <v>20000</v>
      </c>
      <c r="J3" s="1" t="n">
        <v>5</v>
      </c>
      <c r="K3" s="1" t="n">
        <f aca="false">SUMIFS(G:G,B:B,J3)/2</f>
        <v>50000</v>
      </c>
      <c r="L3" s="5"/>
      <c r="M3" s="5"/>
    </row>
    <row r="4" customFormat="false" ht="15" hidden="false" customHeight="false" outlineLevel="0" collapsed="false">
      <c r="A4" s="19" t="n">
        <v>2</v>
      </c>
      <c r="B4" s="20" t="n">
        <v>5</v>
      </c>
      <c r="C4" s="20" t="s">
        <v>213</v>
      </c>
      <c r="D4" s="20" t="s">
        <v>36</v>
      </c>
      <c r="E4" s="20"/>
      <c r="F4" s="21" t="n">
        <v>20000</v>
      </c>
      <c r="G4" s="0" t="n">
        <f aca="false">IF(D4="Mono&amp;Dual",MIN(E4,F4)*2,MIN(E4,F4))</f>
        <v>20000</v>
      </c>
      <c r="J4" s="1" t="n">
        <v>10</v>
      </c>
      <c r="K4" s="1" t="n">
        <f aca="false">SUMIFS(G:G,B:B,J4)/2</f>
        <v>20000</v>
      </c>
      <c r="L4" s="5"/>
      <c r="M4" s="5"/>
    </row>
    <row r="5" customFormat="false" ht="15" hidden="false" customHeight="false" outlineLevel="0" collapsed="false">
      <c r="A5" s="16" t="n">
        <v>2</v>
      </c>
      <c r="B5" s="17" t="n">
        <v>5</v>
      </c>
      <c r="C5" s="17" t="s">
        <v>214</v>
      </c>
      <c r="D5" s="17" t="s">
        <v>36</v>
      </c>
      <c r="E5" s="17"/>
      <c r="F5" s="18" t="n">
        <v>20000</v>
      </c>
      <c r="G5" s="0" t="n">
        <f aca="false">IF(D5="Mono&amp;Dual",MIN(E5,F5)*2,MIN(E5,F5))</f>
        <v>20000</v>
      </c>
      <c r="J5" s="1" t="n">
        <v>20</v>
      </c>
      <c r="K5" s="1" t="n">
        <f aca="false">SUMIFS(G:G,B:B,J5)/2</f>
        <v>40000</v>
      </c>
      <c r="L5" s="5"/>
      <c r="M5" s="5"/>
    </row>
    <row r="6" customFormat="false" ht="15" hidden="false" customHeight="false" outlineLevel="0" collapsed="false">
      <c r="A6" s="19" t="n">
        <v>2</v>
      </c>
      <c r="B6" s="20" t="n">
        <v>10</v>
      </c>
      <c r="C6" s="20" t="s">
        <v>215</v>
      </c>
      <c r="D6" s="20" t="s">
        <v>211</v>
      </c>
      <c r="E6" s="20" t="n">
        <v>40000</v>
      </c>
      <c r="F6" s="21" t="n">
        <v>4000</v>
      </c>
      <c r="G6" s="0" t="n">
        <f aca="false">IF(D6="Mono&amp;Dual",MIN(E6,F6)*2,MIN(E6,F6))</f>
        <v>8000</v>
      </c>
      <c r="J6" s="1" t="n">
        <v>30</v>
      </c>
      <c r="K6" s="1" t="n">
        <f aca="false">SUMIFS(G:G,B:B,J6)/2</f>
        <v>42000</v>
      </c>
      <c r="L6" s="5"/>
      <c r="M6" s="5"/>
    </row>
    <row r="7" customFormat="false" ht="15" hidden="false" customHeight="false" outlineLevel="0" collapsed="false">
      <c r="A7" s="16" t="n">
        <v>2</v>
      </c>
      <c r="B7" s="17" t="n">
        <v>10</v>
      </c>
      <c r="C7" s="17" t="s">
        <v>216</v>
      </c>
      <c r="D7" s="17" t="s">
        <v>211</v>
      </c>
      <c r="E7" s="17" t="n">
        <v>40000</v>
      </c>
      <c r="F7" s="18" t="n">
        <v>4000</v>
      </c>
      <c r="G7" s="0" t="n">
        <f aca="false">IF(D7="Mono&amp;Dual",MIN(E7,F7)*2,MIN(E7,F7))</f>
        <v>8000</v>
      </c>
      <c r="J7" s="1" t="n">
        <v>50</v>
      </c>
      <c r="K7" s="1" t="n">
        <f aca="false">SUMIFS(G:G,B:B,J7)/2</f>
        <v>50000</v>
      </c>
      <c r="L7" s="5"/>
      <c r="M7" s="5"/>
    </row>
    <row r="8" customFormat="false" ht="15" hidden="false" customHeight="false" outlineLevel="0" collapsed="false">
      <c r="A8" s="19" t="n">
        <v>2</v>
      </c>
      <c r="B8" s="20" t="n">
        <v>10</v>
      </c>
      <c r="C8" s="20" t="s">
        <v>217</v>
      </c>
      <c r="D8" s="20" t="s">
        <v>36</v>
      </c>
      <c r="E8" s="20"/>
      <c r="F8" s="21" t="n">
        <v>4000</v>
      </c>
      <c r="G8" s="0" t="n">
        <f aca="false">IF(D8="Mono&amp;Dual",MIN(E8,F8)*2,MIN(E8,F8))</f>
        <v>4000</v>
      </c>
      <c r="J8" s="1" t="n">
        <v>100</v>
      </c>
      <c r="K8" s="1" t="n">
        <f aca="false">SUMIFS(G:G,B:B,J8)/2</f>
        <v>50000</v>
      </c>
      <c r="L8" s="5"/>
      <c r="M8" s="5"/>
    </row>
    <row r="9" customFormat="false" ht="15" hidden="false" customHeight="false" outlineLevel="0" collapsed="false">
      <c r="A9" s="16" t="n">
        <v>2</v>
      </c>
      <c r="B9" s="17" t="n">
        <v>10</v>
      </c>
      <c r="C9" s="17" t="s">
        <v>218</v>
      </c>
      <c r="D9" s="17" t="s">
        <v>36</v>
      </c>
      <c r="E9" s="17"/>
      <c r="F9" s="18" t="n">
        <v>4000</v>
      </c>
      <c r="G9" s="0" t="n">
        <f aca="false">IF(D9="Mono&amp;Dual",MIN(E9,F9)*2,MIN(E9,F9))</f>
        <v>4000</v>
      </c>
      <c r="J9" s="5"/>
      <c r="K9" s="5"/>
      <c r="L9" s="5"/>
      <c r="M9" s="5"/>
    </row>
    <row r="10" customFormat="false" ht="15" hidden="false" customHeight="false" outlineLevel="0" collapsed="false">
      <c r="A10" s="19" t="n">
        <v>2</v>
      </c>
      <c r="B10" s="20" t="n">
        <v>10</v>
      </c>
      <c r="C10" s="20" t="s">
        <v>219</v>
      </c>
      <c r="D10" s="20" t="s">
        <v>36</v>
      </c>
      <c r="E10" s="20"/>
      <c r="F10" s="21" t="n">
        <v>4000</v>
      </c>
      <c r="G10" s="0" t="n">
        <f aca="false">IF(D10="Mono&amp;Dual",MIN(E10,F10)*2,MIN(E10,F10))</f>
        <v>4000</v>
      </c>
    </row>
    <row r="11" customFormat="false" ht="15" hidden="false" customHeight="false" outlineLevel="0" collapsed="false">
      <c r="A11" s="16" t="n">
        <v>2</v>
      </c>
      <c r="B11" s="17" t="n">
        <v>10</v>
      </c>
      <c r="C11" s="17" t="s">
        <v>220</v>
      </c>
      <c r="D11" s="17" t="s">
        <v>36</v>
      </c>
      <c r="E11" s="17"/>
      <c r="F11" s="18" t="n">
        <v>4000</v>
      </c>
      <c r="G11" s="0" t="n">
        <f aca="false">IF(D11="Mono&amp;Dual",MIN(E11,F11)*2,MIN(E11,F11))</f>
        <v>4000</v>
      </c>
    </row>
    <row r="12" customFormat="false" ht="15" hidden="false" customHeight="false" outlineLevel="0" collapsed="false">
      <c r="A12" s="19" t="n">
        <v>2</v>
      </c>
      <c r="B12" s="20" t="n">
        <v>10</v>
      </c>
      <c r="C12" s="20" t="s">
        <v>221</v>
      </c>
      <c r="D12" s="20" t="s">
        <v>36</v>
      </c>
      <c r="E12" s="20"/>
      <c r="F12" s="21" t="n">
        <v>4000</v>
      </c>
      <c r="G12" s="0" t="n">
        <f aca="false">IF(D12="Mono&amp;Dual",MIN(E12,F12)*2,MIN(E12,F12))</f>
        <v>4000</v>
      </c>
    </row>
    <row r="13" customFormat="false" ht="15" hidden="false" customHeight="false" outlineLevel="0" collapsed="false">
      <c r="A13" s="16" t="n">
        <v>2</v>
      </c>
      <c r="B13" s="17" t="n">
        <v>10</v>
      </c>
      <c r="C13" s="17" t="s">
        <v>222</v>
      </c>
      <c r="D13" s="17" t="s">
        <v>36</v>
      </c>
      <c r="E13" s="17"/>
      <c r="F13" s="18" t="n">
        <v>4000</v>
      </c>
      <c r="G13" s="0" t="n">
        <f aca="false">IF(D13="Mono&amp;Dual",MIN(E13,F13)*2,MIN(E13,F13))</f>
        <v>4000</v>
      </c>
    </row>
    <row r="14" customFormat="false" ht="15" hidden="false" customHeight="false" outlineLevel="0" collapsed="false">
      <c r="A14" s="19" t="n">
        <v>2</v>
      </c>
      <c r="B14" s="20" t="n">
        <v>20</v>
      </c>
      <c r="C14" s="20" t="s">
        <v>215</v>
      </c>
      <c r="D14" s="20" t="s">
        <v>211</v>
      </c>
      <c r="E14" s="20" t="n">
        <v>20000</v>
      </c>
      <c r="F14" s="21" t="n">
        <v>4000</v>
      </c>
      <c r="G14" s="0" t="n">
        <f aca="false">IF(D14="Mono&amp;Dual",MIN(E14,F14)*2,MIN(E14,F14))</f>
        <v>8000</v>
      </c>
    </row>
    <row r="15" customFormat="false" ht="15" hidden="false" customHeight="false" outlineLevel="0" collapsed="false">
      <c r="A15" s="16" t="n">
        <v>2</v>
      </c>
      <c r="B15" s="17" t="n">
        <v>20</v>
      </c>
      <c r="C15" s="17" t="s">
        <v>216</v>
      </c>
      <c r="D15" s="17" t="s">
        <v>211</v>
      </c>
      <c r="E15" s="17" t="n">
        <v>20000</v>
      </c>
      <c r="F15" s="18" t="n">
        <v>4000</v>
      </c>
      <c r="G15" s="0" t="n">
        <f aca="false">IF(D15="Mono&amp;Dual",MIN(E15,F15)*2,MIN(E15,F15))</f>
        <v>8000</v>
      </c>
    </row>
    <row r="16" customFormat="false" ht="15" hidden="false" customHeight="false" outlineLevel="0" collapsed="false">
      <c r="A16" s="19" t="n">
        <v>2</v>
      </c>
      <c r="B16" s="20" t="n">
        <v>20</v>
      </c>
      <c r="C16" s="20" t="s">
        <v>223</v>
      </c>
      <c r="D16" s="20" t="s">
        <v>211</v>
      </c>
      <c r="E16" s="20" t="n">
        <v>20000</v>
      </c>
      <c r="F16" s="21" t="n">
        <v>4000</v>
      </c>
      <c r="G16" s="0" t="n">
        <f aca="false">IF(D16="Mono&amp;Dual",MIN(E16,F16)*2,MIN(E16,F16))</f>
        <v>8000</v>
      </c>
    </row>
    <row r="17" customFormat="false" ht="15" hidden="false" customHeight="false" outlineLevel="0" collapsed="false">
      <c r="A17" s="16" t="n">
        <v>2</v>
      </c>
      <c r="B17" s="17" t="n">
        <v>20</v>
      </c>
      <c r="C17" s="17" t="s">
        <v>224</v>
      </c>
      <c r="D17" s="17" t="s">
        <v>211</v>
      </c>
      <c r="E17" s="17" t="n">
        <v>20000</v>
      </c>
      <c r="F17" s="18" t="n">
        <v>4000</v>
      </c>
      <c r="G17" s="0" t="n">
        <f aca="false">IF(D17="Mono&amp;Dual",MIN(E17,F17)*2,MIN(E17,F17))</f>
        <v>8000</v>
      </c>
    </row>
    <row r="18" customFormat="false" ht="15" hidden="false" customHeight="false" outlineLevel="0" collapsed="false">
      <c r="A18" s="19" t="n">
        <v>2</v>
      </c>
      <c r="B18" s="20" t="n">
        <v>20</v>
      </c>
      <c r="C18" s="20" t="s">
        <v>217</v>
      </c>
      <c r="D18" s="20" t="s">
        <v>36</v>
      </c>
      <c r="E18" s="20"/>
      <c r="F18" s="21" t="n">
        <v>4000</v>
      </c>
      <c r="G18" s="0" t="n">
        <f aca="false">IF(D18="Mono&amp;Dual",MIN(E18,F18)*2,MIN(E18,F18))</f>
        <v>4000</v>
      </c>
    </row>
    <row r="19" customFormat="false" ht="15" hidden="false" customHeight="false" outlineLevel="0" collapsed="false">
      <c r="A19" s="16" t="n">
        <v>2</v>
      </c>
      <c r="B19" s="17" t="n">
        <v>20</v>
      </c>
      <c r="C19" s="17" t="s">
        <v>218</v>
      </c>
      <c r="D19" s="17" t="s">
        <v>36</v>
      </c>
      <c r="E19" s="17"/>
      <c r="F19" s="18" t="n">
        <v>4000</v>
      </c>
      <c r="G19" s="0" t="n">
        <f aca="false">IF(D19="Mono&amp;Dual",MIN(E19,F19)*2,MIN(E19,F19))</f>
        <v>4000</v>
      </c>
    </row>
    <row r="20" customFormat="false" ht="15" hidden="false" customHeight="false" outlineLevel="0" collapsed="false">
      <c r="A20" s="19" t="n">
        <v>2</v>
      </c>
      <c r="B20" s="20" t="n">
        <v>20</v>
      </c>
      <c r="C20" s="20" t="s">
        <v>219</v>
      </c>
      <c r="D20" s="20" t="s">
        <v>36</v>
      </c>
      <c r="E20" s="20"/>
      <c r="F20" s="21" t="n">
        <v>4000</v>
      </c>
      <c r="G20" s="0" t="n">
        <f aca="false">IF(D20="Mono&amp;Dual",MIN(E20,F20)*2,MIN(E20,F20))</f>
        <v>4000</v>
      </c>
    </row>
    <row r="21" customFormat="false" ht="15" hidden="false" customHeight="false" outlineLevel="0" collapsed="false">
      <c r="A21" s="16" t="n">
        <v>2</v>
      </c>
      <c r="B21" s="17" t="n">
        <v>20</v>
      </c>
      <c r="C21" s="17" t="s">
        <v>220</v>
      </c>
      <c r="D21" s="17" t="s">
        <v>36</v>
      </c>
      <c r="E21" s="17"/>
      <c r="F21" s="18" t="n">
        <v>4000</v>
      </c>
      <c r="G21" s="0" t="n">
        <f aca="false">IF(D21="Mono&amp;Dual",MIN(E21,F21)*2,MIN(E21,F21))</f>
        <v>4000</v>
      </c>
    </row>
    <row r="22" customFormat="false" ht="15" hidden="false" customHeight="false" outlineLevel="0" collapsed="false">
      <c r="A22" s="19" t="n">
        <v>2</v>
      </c>
      <c r="B22" s="20" t="n">
        <v>20</v>
      </c>
      <c r="C22" s="20" t="s">
        <v>221</v>
      </c>
      <c r="D22" s="20" t="s">
        <v>36</v>
      </c>
      <c r="E22" s="20"/>
      <c r="F22" s="21" t="n">
        <v>4000</v>
      </c>
      <c r="G22" s="0" t="n">
        <f aca="false">IF(D22="Mono&amp;Dual",MIN(E22,F22)*2,MIN(E22,F22))</f>
        <v>4000</v>
      </c>
    </row>
    <row r="23" customFormat="false" ht="15" hidden="false" customHeight="false" outlineLevel="0" collapsed="false">
      <c r="A23" s="16" t="n">
        <v>2</v>
      </c>
      <c r="B23" s="17" t="n">
        <v>20</v>
      </c>
      <c r="C23" s="17" t="s">
        <v>222</v>
      </c>
      <c r="D23" s="17" t="s">
        <v>36</v>
      </c>
      <c r="E23" s="17"/>
      <c r="F23" s="18" t="n">
        <v>4000</v>
      </c>
      <c r="G23" s="0" t="n">
        <f aca="false">IF(D23="Mono&amp;Dual",MIN(E23,F23)*2,MIN(E23,F23))</f>
        <v>4000</v>
      </c>
    </row>
    <row r="24" customFormat="false" ht="15" hidden="false" customHeight="false" outlineLevel="0" collapsed="false">
      <c r="A24" s="19" t="n">
        <v>2</v>
      </c>
      <c r="B24" s="20" t="n">
        <v>20</v>
      </c>
      <c r="C24" s="20" t="s">
        <v>225</v>
      </c>
      <c r="D24" s="20" t="s">
        <v>36</v>
      </c>
      <c r="E24" s="20"/>
      <c r="F24" s="21" t="n">
        <v>4000</v>
      </c>
      <c r="G24" s="0" t="n">
        <f aca="false">IF(D24="Mono&amp;Dual",MIN(E24,F24)*2,MIN(E24,F24))</f>
        <v>4000</v>
      </c>
    </row>
    <row r="25" customFormat="false" ht="15" hidden="false" customHeight="false" outlineLevel="0" collapsed="false">
      <c r="A25" s="16" t="n">
        <v>2</v>
      </c>
      <c r="B25" s="17" t="n">
        <v>20</v>
      </c>
      <c r="C25" s="17" t="s">
        <v>226</v>
      </c>
      <c r="D25" s="17" t="s">
        <v>36</v>
      </c>
      <c r="E25" s="17"/>
      <c r="F25" s="18" t="n">
        <v>4000</v>
      </c>
      <c r="G25" s="0" t="n">
        <f aca="false">IF(D25="Mono&amp;Dual",MIN(E25,F25)*2,MIN(E25,F25))</f>
        <v>4000</v>
      </c>
    </row>
    <row r="26" customFormat="false" ht="15" hidden="false" customHeight="false" outlineLevel="0" collapsed="false">
      <c r="A26" s="19" t="n">
        <v>2</v>
      </c>
      <c r="B26" s="20" t="n">
        <v>20</v>
      </c>
      <c r="C26" s="20" t="s">
        <v>227</v>
      </c>
      <c r="D26" s="20" t="s">
        <v>36</v>
      </c>
      <c r="E26" s="20"/>
      <c r="F26" s="21" t="n">
        <v>4000</v>
      </c>
      <c r="G26" s="0" t="n">
        <f aca="false">IF(D26="Mono&amp;Dual",MIN(E26,F26)*2,MIN(E26,F26))</f>
        <v>4000</v>
      </c>
    </row>
    <row r="27" customFormat="false" ht="15" hidden="false" customHeight="false" outlineLevel="0" collapsed="false">
      <c r="A27" s="16" t="n">
        <v>2</v>
      </c>
      <c r="B27" s="17" t="n">
        <v>20</v>
      </c>
      <c r="C27" s="17" t="s">
        <v>228</v>
      </c>
      <c r="D27" s="17" t="s">
        <v>36</v>
      </c>
      <c r="E27" s="17"/>
      <c r="F27" s="18" t="n">
        <v>4000</v>
      </c>
      <c r="G27" s="0" t="n">
        <f aca="false">IF(D27="Mono&amp;Dual",MIN(E27,F27)*2,MIN(E27,F27))</f>
        <v>4000</v>
      </c>
    </row>
    <row r="28" customFormat="false" ht="15" hidden="false" customHeight="false" outlineLevel="0" collapsed="false">
      <c r="A28" s="19" t="n">
        <v>2</v>
      </c>
      <c r="B28" s="20" t="n">
        <v>20</v>
      </c>
      <c r="C28" s="20" t="s">
        <v>229</v>
      </c>
      <c r="D28" s="20" t="s">
        <v>36</v>
      </c>
      <c r="E28" s="20"/>
      <c r="F28" s="21" t="n">
        <v>4000</v>
      </c>
      <c r="G28" s="0" t="n">
        <f aca="false">IF(D28="Mono&amp;Dual",MIN(E28,F28)*2,MIN(E28,F28))</f>
        <v>4000</v>
      </c>
    </row>
    <row r="29" customFormat="false" ht="15" hidden="false" customHeight="false" outlineLevel="0" collapsed="false">
      <c r="A29" s="16" t="n">
        <v>2</v>
      </c>
      <c r="B29" s="17" t="n">
        <v>20</v>
      </c>
      <c r="C29" s="17" t="s">
        <v>230</v>
      </c>
      <c r="D29" s="17" t="s">
        <v>36</v>
      </c>
      <c r="E29" s="17"/>
      <c r="F29" s="18" t="n">
        <v>4000</v>
      </c>
      <c r="G29" s="0" t="n">
        <f aca="false">IF(D29="Mono&amp;Dual",MIN(E29,F29)*2,MIN(E29,F29))</f>
        <v>4000</v>
      </c>
    </row>
    <row r="30" customFormat="false" ht="15" hidden="false" customHeight="false" outlineLevel="0" collapsed="false">
      <c r="A30" s="19" t="n">
        <v>2</v>
      </c>
      <c r="B30" s="20" t="n">
        <v>30</v>
      </c>
      <c r="C30" s="20" t="s">
        <v>215</v>
      </c>
      <c r="D30" s="20" t="s">
        <v>211</v>
      </c>
      <c r="E30" s="20" t="n">
        <v>15000</v>
      </c>
      <c r="F30" s="21" t="n">
        <v>3000</v>
      </c>
      <c r="G30" s="0" t="n">
        <f aca="false">IF(D30="Mono&amp;Dual",MIN(E30,F30)*2,MIN(E30,F30))</f>
        <v>6000</v>
      </c>
    </row>
    <row r="31" customFormat="false" ht="15" hidden="false" customHeight="false" outlineLevel="0" collapsed="false">
      <c r="A31" s="16" t="n">
        <v>2</v>
      </c>
      <c r="B31" s="17" t="n">
        <v>30</v>
      </c>
      <c r="C31" s="17" t="s">
        <v>216</v>
      </c>
      <c r="D31" s="17" t="s">
        <v>211</v>
      </c>
      <c r="E31" s="17" t="n">
        <v>15000</v>
      </c>
      <c r="F31" s="18" t="n">
        <v>3000</v>
      </c>
      <c r="G31" s="0" t="n">
        <f aca="false">IF(D31="Mono&amp;Dual",MIN(E31,F31)*2,MIN(E31,F31))</f>
        <v>6000</v>
      </c>
    </row>
    <row r="32" customFormat="false" ht="15" hidden="false" customHeight="false" outlineLevel="0" collapsed="false">
      <c r="A32" s="19" t="n">
        <v>2</v>
      </c>
      <c r="B32" s="20" t="n">
        <v>30</v>
      </c>
      <c r="C32" s="20" t="s">
        <v>223</v>
      </c>
      <c r="D32" s="20" t="s">
        <v>211</v>
      </c>
      <c r="E32" s="20" t="n">
        <v>15000</v>
      </c>
      <c r="F32" s="21" t="n">
        <v>3000</v>
      </c>
      <c r="G32" s="0" t="n">
        <f aca="false">IF(D32="Mono&amp;Dual",MIN(E32,F32)*2,MIN(E32,F32))</f>
        <v>6000</v>
      </c>
    </row>
    <row r="33" customFormat="false" ht="15" hidden="false" customHeight="false" outlineLevel="0" collapsed="false">
      <c r="A33" s="16" t="n">
        <v>2</v>
      </c>
      <c r="B33" s="17" t="n">
        <v>30</v>
      </c>
      <c r="C33" s="17" t="s">
        <v>224</v>
      </c>
      <c r="D33" s="17" t="s">
        <v>211</v>
      </c>
      <c r="E33" s="17" t="n">
        <v>15000</v>
      </c>
      <c r="F33" s="18" t="n">
        <v>3000</v>
      </c>
      <c r="G33" s="0" t="n">
        <f aca="false">IF(D33="Mono&amp;Dual",MIN(E33,F33)*2,MIN(E33,F33))</f>
        <v>6000</v>
      </c>
    </row>
    <row r="34" customFormat="false" ht="15" hidden="false" customHeight="false" outlineLevel="0" collapsed="false">
      <c r="A34" s="19" t="n">
        <v>2</v>
      </c>
      <c r="B34" s="20" t="n">
        <v>30</v>
      </c>
      <c r="C34" s="20" t="s">
        <v>231</v>
      </c>
      <c r="D34" s="20" t="s">
        <v>211</v>
      </c>
      <c r="E34" s="20" t="n">
        <v>15000</v>
      </c>
      <c r="F34" s="21" t="n">
        <v>3000</v>
      </c>
      <c r="G34" s="0" t="n">
        <f aca="false">IF(D34="Mono&amp;Dual",MIN(E34,F34)*2,MIN(E34,F34))</f>
        <v>6000</v>
      </c>
    </row>
    <row r="35" customFormat="false" ht="15" hidden="false" customHeight="false" outlineLevel="0" collapsed="false">
      <c r="A35" s="16" t="n">
        <v>2</v>
      </c>
      <c r="B35" s="17" t="n">
        <v>30</v>
      </c>
      <c r="C35" s="17" t="s">
        <v>232</v>
      </c>
      <c r="D35" s="17" t="s">
        <v>211</v>
      </c>
      <c r="E35" s="17" t="n">
        <v>15000</v>
      </c>
      <c r="F35" s="18" t="n">
        <v>3000</v>
      </c>
      <c r="G35" s="0" t="n">
        <f aca="false">IF(D35="Mono&amp;Dual",MIN(E35,F35)*2,MIN(E35,F35))</f>
        <v>6000</v>
      </c>
    </row>
    <row r="36" customFormat="false" ht="15" hidden="false" customHeight="false" outlineLevel="0" collapsed="false">
      <c r="A36" s="19" t="n">
        <v>2</v>
      </c>
      <c r="B36" s="20" t="n">
        <v>30</v>
      </c>
      <c r="C36" s="20" t="s">
        <v>233</v>
      </c>
      <c r="D36" s="20" t="s">
        <v>211</v>
      </c>
      <c r="E36" s="20" t="n">
        <v>15000</v>
      </c>
      <c r="F36" s="21" t="n">
        <v>3000</v>
      </c>
      <c r="G36" s="0" t="n">
        <f aca="false">IF(D36="Mono&amp;Dual",MIN(E36,F36)*2,MIN(E36,F36))</f>
        <v>6000</v>
      </c>
    </row>
    <row r="37" customFormat="false" ht="15" hidden="false" customHeight="false" outlineLevel="0" collapsed="false">
      <c r="A37" s="16" t="n">
        <v>2</v>
      </c>
      <c r="B37" s="17" t="n">
        <v>30</v>
      </c>
      <c r="C37" s="17" t="s">
        <v>234</v>
      </c>
      <c r="D37" s="17" t="s">
        <v>211</v>
      </c>
      <c r="E37" s="17" t="n">
        <v>15000</v>
      </c>
      <c r="F37" s="18" t="n">
        <v>3000</v>
      </c>
      <c r="G37" s="0" t="n">
        <f aca="false">IF(D37="Mono&amp;Dual",MIN(E37,F37)*2,MIN(E37,F37))</f>
        <v>6000</v>
      </c>
    </row>
    <row r="38" customFormat="false" ht="15" hidden="false" customHeight="false" outlineLevel="0" collapsed="false">
      <c r="A38" s="19" t="n">
        <v>2</v>
      </c>
      <c r="B38" s="20" t="n">
        <v>30</v>
      </c>
      <c r="C38" s="20" t="s">
        <v>235</v>
      </c>
      <c r="D38" s="20" t="s">
        <v>211</v>
      </c>
      <c r="E38" s="20" t="n">
        <v>15000</v>
      </c>
      <c r="F38" s="21" t="n">
        <v>3000</v>
      </c>
      <c r="G38" s="0" t="n">
        <f aca="false">IF(D38="Mono&amp;Dual",MIN(E38,F38)*2,MIN(E38,F38))</f>
        <v>6000</v>
      </c>
    </row>
    <row r="39" customFormat="false" ht="15" hidden="false" customHeight="false" outlineLevel="0" collapsed="false">
      <c r="A39" s="16" t="n">
        <v>2</v>
      </c>
      <c r="B39" s="17" t="n">
        <v>30</v>
      </c>
      <c r="C39" s="17" t="s">
        <v>236</v>
      </c>
      <c r="D39" s="17" t="s">
        <v>211</v>
      </c>
      <c r="E39" s="17" t="n">
        <v>15000</v>
      </c>
      <c r="F39" s="18" t="n">
        <v>3000</v>
      </c>
      <c r="G39" s="0" t="n">
        <f aca="false">IF(D39="Mono&amp;Dual",MIN(E39,F39)*2,MIN(E39,F39))</f>
        <v>6000</v>
      </c>
    </row>
    <row r="40" customFormat="false" ht="15" hidden="false" customHeight="false" outlineLevel="0" collapsed="false">
      <c r="A40" s="19" t="n">
        <v>2</v>
      </c>
      <c r="B40" s="20" t="n">
        <v>30</v>
      </c>
      <c r="C40" s="20" t="s">
        <v>237</v>
      </c>
      <c r="D40" s="20" t="s">
        <v>211</v>
      </c>
      <c r="E40" s="20" t="n">
        <v>15000</v>
      </c>
      <c r="F40" s="21" t="n">
        <v>3000</v>
      </c>
      <c r="G40" s="0" t="n">
        <f aca="false">IF(D40="Mono&amp;Dual",MIN(E40,F40)*2,MIN(E40,F40))</f>
        <v>6000</v>
      </c>
    </row>
    <row r="41" customFormat="false" ht="15" hidden="false" customHeight="false" outlineLevel="0" collapsed="false">
      <c r="A41" s="16" t="n">
        <v>2</v>
      </c>
      <c r="B41" s="17" t="n">
        <v>30</v>
      </c>
      <c r="C41" s="17" t="s">
        <v>238</v>
      </c>
      <c r="D41" s="17" t="s">
        <v>211</v>
      </c>
      <c r="E41" s="17" t="n">
        <v>15000</v>
      </c>
      <c r="F41" s="18" t="n">
        <v>3000</v>
      </c>
      <c r="G41" s="0" t="n">
        <f aca="false">IF(D41="Mono&amp;Dual",MIN(E41,F41)*2,MIN(E41,F41))</f>
        <v>6000</v>
      </c>
    </row>
    <row r="42" customFormat="false" ht="15" hidden="false" customHeight="false" outlineLevel="0" collapsed="false">
      <c r="A42" s="19" t="n">
        <v>2</v>
      </c>
      <c r="B42" s="20" t="n">
        <v>30</v>
      </c>
      <c r="C42" s="20" t="s">
        <v>225</v>
      </c>
      <c r="D42" s="20" t="s">
        <v>36</v>
      </c>
      <c r="E42" s="20"/>
      <c r="F42" s="21" t="n">
        <v>2000</v>
      </c>
      <c r="G42" s="0" t="n">
        <f aca="false">IF(D42="Mono&amp;Dual",MIN(E42,F42)*2,MIN(E42,F42))</f>
        <v>2000</v>
      </c>
    </row>
    <row r="43" customFormat="false" ht="15" hidden="false" customHeight="false" outlineLevel="0" collapsed="false">
      <c r="A43" s="16" t="n">
        <v>2</v>
      </c>
      <c r="B43" s="17" t="n">
        <v>30</v>
      </c>
      <c r="C43" s="17" t="s">
        <v>226</v>
      </c>
      <c r="D43" s="17" t="s">
        <v>36</v>
      </c>
      <c r="E43" s="17"/>
      <c r="F43" s="18" t="n">
        <v>2000</v>
      </c>
      <c r="G43" s="0" t="n">
        <f aca="false">IF(D43="Mono&amp;Dual",MIN(E43,F43)*2,MIN(E43,F43))</f>
        <v>2000</v>
      </c>
    </row>
    <row r="44" customFormat="false" ht="15" hidden="false" customHeight="false" outlineLevel="0" collapsed="false">
      <c r="A44" s="19" t="n">
        <v>2</v>
      </c>
      <c r="B44" s="20" t="n">
        <v>30</v>
      </c>
      <c r="C44" s="20" t="s">
        <v>227</v>
      </c>
      <c r="D44" s="20" t="s">
        <v>36</v>
      </c>
      <c r="E44" s="20"/>
      <c r="F44" s="21" t="n">
        <v>2000</v>
      </c>
      <c r="G44" s="0" t="n">
        <f aca="false">IF(D44="Mono&amp;Dual",MIN(E44,F44)*2,MIN(E44,F44))</f>
        <v>2000</v>
      </c>
    </row>
    <row r="45" customFormat="false" ht="15" hidden="false" customHeight="false" outlineLevel="0" collapsed="false">
      <c r="A45" s="16" t="n">
        <v>2</v>
      </c>
      <c r="B45" s="17" t="n">
        <v>30</v>
      </c>
      <c r="C45" s="17" t="s">
        <v>228</v>
      </c>
      <c r="D45" s="17" t="s">
        <v>36</v>
      </c>
      <c r="E45" s="17"/>
      <c r="F45" s="18" t="n">
        <v>2000</v>
      </c>
      <c r="G45" s="0" t="n">
        <f aca="false">IF(D45="Mono&amp;Dual",MIN(E45,F45)*2,MIN(E45,F45))</f>
        <v>2000</v>
      </c>
    </row>
    <row r="46" customFormat="false" ht="15" hidden="false" customHeight="false" outlineLevel="0" collapsed="false">
      <c r="A46" s="19" t="n">
        <v>2</v>
      </c>
      <c r="B46" s="20" t="n">
        <v>30</v>
      </c>
      <c r="C46" s="20" t="s">
        <v>229</v>
      </c>
      <c r="D46" s="20" t="s">
        <v>36</v>
      </c>
      <c r="E46" s="20"/>
      <c r="F46" s="21" t="n">
        <v>2000</v>
      </c>
      <c r="G46" s="0" t="n">
        <f aca="false">IF(D46="Mono&amp;Dual",MIN(E46,F46)*2,MIN(E46,F46))</f>
        <v>2000</v>
      </c>
    </row>
    <row r="47" customFormat="false" ht="15" hidden="false" customHeight="false" outlineLevel="0" collapsed="false">
      <c r="A47" s="16" t="n">
        <v>2</v>
      </c>
      <c r="B47" s="17" t="n">
        <v>30</v>
      </c>
      <c r="C47" s="17" t="s">
        <v>230</v>
      </c>
      <c r="D47" s="17" t="s">
        <v>36</v>
      </c>
      <c r="E47" s="17"/>
      <c r="F47" s="18" t="n">
        <v>2000</v>
      </c>
      <c r="G47" s="0" t="n">
        <f aca="false">IF(D47="Mono&amp;Dual",MIN(E47,F47)*2,MIN(E47,F47))</f>
        <v>2000</v>
      </c>
    </row>
    <row r="48" customFormat="false" ht="15" hidden="false" customHeight="false" outlineLevel="0" collapsed="false">
      <c r="A48" s="19" t="n">
        <v>2</v>
      </c>
      <c r="B48" s="20" t="n">
        <v>50</v>
      </c>
      <c r="C48" s="20" t="s">
        <v>215</v>
      </c>
      <c r="D48" s="20" t="s">
        <v>211</v>
      </c>
      <c r="E48" s="20" t="n">
        <v>5000</v>
      </c>
      <c r="F48" s="21" t="n">
        <v>2000</v>
      </c>
      <c r="G48" s="0" t="n">
        <f aca="false">IF(D48="Mono&amp;Dual",MIN(E48,F48)*2,MIN(E48,F48))</f>
        <v>4000</v>
      </c>
    </row>
    <row r="49" customFormat="false" ht="15" hidden="false" customHeight="false" outlineLevel="0" collapsed="false">
      <c r="A49" s="16" t="n">
        <v>2</v>
      </c>
      <c r="B49" s="17" t="n">
        <v>50</v>
      </c>
      <c r="C49" s="17" t="s">
        <v>216</v>
      </c>
      <c r="D49" s="17" t="s">
        <v>211</v>
      </c>
      <c r="E49" s="17" t="n">
        <v>5000</v>
      </c>
      <c r="F49" s="18" t="n">
        <v>2000</v>
      </c>
      <c r="G49" s="0" t="n">
        <f aca="false">IF(D49="Mono&amp;Dual",MIN(E49,F49)*2,MIN(E49,F49))</f>
        <v>4000</v>
      </c>
    </row>
    <row r="50" customFormat="false" ht="15" hidden="false" customHeight="false" outlineLevel="0" collapsed="false">
      <c r="A50" s="19" t="n">
        <v>2</v>
      </c>
      <c r="B50" s="20" t="n">
        <v>50</v>
      </c>
      <c r="C50" s="20" t="s">
        <v>223</v>
      </c>
      <c r="D50" s="20" t="s">
        <v>211</v>
      </c>
      <c r="E50" s="20" t="n">
        <v>5000</v>
      </c>
      <c r="F50" s="21" t="n">
        <v>2000</v>
      </c>
      <c r="G50" s="0" t="n">
        <f aca="false">IF(D50="Mono&amp;Dual",MIN(E50,F50)*2,MIN(E50,F50))</f>
        <v>4000</v>
      </c>
    </row>
    <row r="51" customFormat="false" ht="15" hidden="false" customHeight="false" outlineLevel="0" collapsed="false">
      <c r="A51" s="16" t="n">
        <v>2</v>
      </c>
      <c r="B51" s="17" t="n">
        <v>50</v>
      </c>
      <c r="C51" s="17" t="s">
        <v>224</v>
      </c>
      <c r="D51" s="17" t="s">
        <v>211</v>
      </c>
      <c r="E51" s="17" t="n">
        <v>5000</v>
      </c>
      <c r="F51" s="18" t="n">
        <v>2000</v>
      </c>
      <c r="G51" s="0" t="n">
        <f aca="false">IF(D51="Mono&amp;Dual",MIN(E51,F51)*2,MIN(E51,F51))</f>
        <v>4000</v>
      </c>
    </row>
    <row r="52" customFormat="false" ht="15" hidden="false" customHeight="false" outlineLevel="0" collapsed="false">
      <c r="A52" s="19" t="n">
        <v>2</v>
      </c>
      <c r="B52" s="20" t="n">
        <v>50</v>
      </c>
      <c r="C52" s="20" t="s">
        <v>231</v>
      </c>
      <c r="D52" s="20" t="s">
        <v>211</v>
      </c>
      <c r="E52" s="20" t="n">
        <v>5000</v>
      </c>
      <c r="F52" s="21" t="n">
        <v>2000</v>
      </c>
      <c r="G52" s="0" t="n">
        <f aca="false">IF(D52="Mono&amp;Dual",MIN(E52,F52)*2,MIN(E52,F52))</f>
        <v>4000</v>
      </c>
    </row>
    <row r="53" customFormat="false" ht="15" hidden="false" customHeight="false" outlineLevel="0" collapsed="false">
      <c r="A53" s="16" t="n">
        <v>2</v>
      </c>
      <c r="B53" s="17" t="n">
        <v>50</v>
      </c>
      <c r="C53" s="17" t="s">
        <v>232</v>
      </c>
      <c r="D53" s="17" t="s">
        <v>211</v>
      </c>
      <c r="E53" s="17" t="n">
        <v>5000</v>
      </c>
      <c r="F53" s="18" t="n">
        <v>2000</v>
      </c>
      <c r="G53" s="0" t="n">
        <f aca="false">IF(D53="Mono&amp;Dual",MIN(E53,F53)*2,MIN(E53,F53))</f>
        <v>4000</v>
      </c>
    </row>
    <row r="54" customFormat="false" ht="15" hidden="false" customHeight="false" outlineLevel="0" collapsed="false">
      <c r="A54" s="19" t="n">
        <v>2</v>
      </c>
      <c r="B54" s="20" t="n">
        <v>50</v>
      </c>
      <c r="C54" s="20" t="s">
        <v>233</v>
      </c>
      <c r="D54" s="20" t="s">
        <v>211</v>
      </c>
      <c r="E54" s="20" t="n">
        <v>5000</v>
      </c>
      <c r="F54" s="21" t="n">
        <v>2000</v>
      </c>
      <c r="G54" s="0" t="n">
        <f aca="false">IF(D54="Mono&amp;Dual",MIN(E54,F54)*2,MIN(E54,F54))</f>
        <v>4000</v>
      </c>
    </row>
    <row r="55" customFormat="false" ht="15" hidden="false" customHeight="false" outlineLevel="0" collapsed="false">
      <c r="A55" s="16" t="n">
        <v>2</v>
      </c>
      <c r="B55" s="17" t="n">
        <v>50</v>
      </c>
      <c r="C55" s="17" t="s">
        <v>234</v>
      </c>
      <c r="D55" s="17" t="s">
        <v>211</v>
      </c>
      <c r="E55" s="17" t="n">
        <v>5000</v>
      </c>
      <c r="F55" s="18" t="n">
        <v>2000</v>
      </c>
      <c r="G55" s="0" t="n">
        <f aca="false">IF(D55="Mono&amp;Dual",MIN(E55,F55)*2,MIN(E55,F55))</f>
        <v>4000</v>
      </c>
    </row>
    <row r="56" customFormat="false" ht="15" hidden="false" customHeight="false" outlineLevel="0" collapsed="false">
      <c r="A56" s="19" t="n">
        <v>2</v>
      </c>
      <c r="B56" s="20" t="n">
        <v>50</v>
      </c>
      <c r="C56" s="20" t="s">
        <v>235</v>
      </c>
      <c r="D56" s="20" t="s">
        <v>211</v>
      </c>
      <c r="E56" s="20" t="n">
        <v>5000</v>
      </c>
      <c r="F56" s="21" t="n">
        <v>2000</v>
      </c>
      <c r="G56" s="0" t="n">
        <f aca="false">IF(D56="Mono&amp;Dual",MIN(E56,F56)*2,MIN(E56,F56))</f>
        <v>4000</v>
      </c>
    </row>
    <row r="57" customFormat="false" ht="15" hidden="false" customHeight="false" outlineLevel="0" collapsed="false">
      <c r="A57" s="16" t="n">
        <v>2</v>
      </c>
      <c r="B57" s="17" t="n">
        <v>50</v>
      </c>
      <c r="C57" s="17" t="s">
        <v>236</v>
      </c>
      <c r="D57" s="17" t="s">
        <v>211</v>
      </c>
      <c r="E57" s="17" t="n">
        <v>5000</v>
      </c>
      <c r="F57" s="18" t="n">
        <v>2000</v>
      </c>
      <c r="G57" s="0" t="n">
        <f aca="false">IF(D57="Mono&amp;Dual",MIN(E57,F57)*2,MIN(E57,F57))</f>
        <v>4000</v>
      </c>
    </row>
    <row r="58" customFormat="false" ht="15" hidden="false" customHeight="false" outlineLevel="0" collapsed="false">
      <c r="A58" s="19" t="n">
        <v>2</v>
      </c>
      <c r="B58" s="20" t="n">
        <v>50</v>
      </c>
      <c r="C58" s="20" t="s">
        <v>237</v>
      </c>
      <c r="D58" s="20" t="s">
        <v>211</v>
      </c>
      <c r="E58" s="20" t="n">
        <v>5000</v>
      </c>
      <c r="F58" s="21" t="n">
        <v>2000</v>
      </c>
      <c r="G58" s="0" t="n">
        <f aca="false">IF(D58="Mono&amp;Dual",MIN(E58,F58)*2,MIN(E58,F58))</f>
        <v>4000</v>
      </c>
    </row>
    <row r="59" customFormat="false" ht="15" hidden="false" customHeight="false" outlineLevel="0" collapsed="false">
      <c r="A59" s="16" t="n">
        <v>2</v>
      </c>
      <c r="B59" s="17" t="n">
        <v>50</v>
      </c>
      <c r="C59" s="17" t="s">
        <v>238</v>
      </c>
      <c r="D59" s="17" t="s">
        <v>211</v>
      </c>
      <c r="E59" s="17" t="n">
        <v>5000</v>
      </c>
      <c r="F59" s="18" t="n">
        <v>2000</v>
      </c>
      <c r="G59" s="0" t="n">
        <f aca="false">IF(D59="Mono&amp;Dual",MIN(E59,F59)*2,MIN(E59,F59))</f>
        <v>4000</v>
      </c>
    </row>
    <row r="60" customFormat="false" ht="15" hidden="false" customHeight="false" outlineLevel="0" collapsed="false">
      <c r="A60" s="19" t="n">
        <v>2</v>
      </c>
      <c r="B60" s="20" t="n">
        <v>50</v>
      </c>
      <c r="C60" s="20" t="s">
        <v>239</v>
      </c>
      <c r="D60" s="20" t="s">
        <v>211</v>
      </c>
      <c r="E60" s="20" t="n">
        <v>5000</v>
      </c>
      <c r="F60" s="21" t="n">
        <v>2000</v>
      </c>
      <c r="G60" s="0" t="n">
        <f aca="false">IF(D60="Mono&amp;Dual",MIN(E60,F60)*2,MIN(E60,F60))</f>
        <v>4000</v>
      </c>
    </row>
    <row r="61" customFormat="false" ht="15" hidden="false" customHeight="false" outlineLevel="0" collapsed="false">
      <c r="A61" s="16" t="n">
        <v>2</v>
      </c>
      <c r="B61" s="17" t="n">
        <v>50</v>
      </c>
      <c r="C61" s="17" t="s">
        <v>240</v>
      </c>
      <c r="D61" s="17" t="s">
        <v>211</v>
      </c>
      <c r="E61" s="17" t="n">
        <v>5000</v>
      </c>
      <c r="F61" s="18" t="n">
        <v>2000</v>
      </c>
      <c r="G61" s="0" t="n">
        <f aca="false">IF(D61="Mono&amp;Dual",MIN(E61,F61)*2,MIN(E61,F61))</f>
        <v>4000</v>
      </c>
    </row>
    <row r="62" customFormat="false" ht="15" hidden="false" customHeight="false" outlineLevel="0" collapsed="false">
      <c r="A62" s="19" t="n">
        <v>2</v>
      </c>
      <c r="B62" s="20" t="n">
        <v>50</v>
      </c>
      <c r="C62" s="20" t="s">
        <v>241</v>
      </c>
      <c r="D62" s="20" t="s">
        <v>211</v>
      </c>
      <c r="E62" s="20" t="n">
        <v>5000</v>
      </c>
      <c r="F62" s="21" t="n">
        <v>2000</v>
      </c>
      <c r="G62" s="0" t="n">
        <f aca="false">IF(D62="Mono&amp;Dual",MIN(E62,F62)*2,MIN(E62,F62))</f>
        <v>4000</v>
      </c>
    </row>
    <row r="63" customFormat="false" ht="15" hidden="false" customHeight="false" outlineLevel="0" collapsed="false">
      <c r="A63" s="16" t="n">
        <v>2</v>
      </c>
      <c r="B63" s="17" t="n">
        <v>50</v>
      </c>
      <c r="C63" s="17" t="s">
        <v>242</v>
      </c>
      <c r="D63" s="17" t="s">
        <v>211</v>
      </c>
      <c r="E63" s="17" t="n">
        <v>5000</v>
      </c>
      <c r="F63" s="18" t="n">
        <v>2000</v>
      </c>
      <c r="G63" s="0" t="n">
        <f aca="false">IF(D63="Mono&amp;Dual",MIN(E63,F63)*2,MIN(E63,F63))</f>
        <v>4000</v>
      </c>
    </row>
    <row r="64" customFormat="false" ht="15" hidden="false" customHeight="false" outlineLevel="0" collapsed="false">
      <c r="A64" s="19" t="n">
        <v>2</v>
      </c>
      <c r="B64" s="20" t="n">
        <v>50</v>
      </c>
      <c r="C64" s="20" t="s">
        <v>243</v>
      </c>
      <c r="D64" s="20" t="s">
        <v>211</v>
      </c>
      <c r="E64" s="20" t="n">
        <v>5000</v>
      </c>
      <c r="F64" s="21" t="n">
        <v>2000</v>
      </c>
      <c r="G64" s="0" t="n">
        <f aca="false">IF(D64="Mono&amp;Dual",MIN(E64,F64)*2,MIN(E64,F64))</f>
        <v>4000</v>
      </c>
    </row>
    <row r="65" customFormat="false" ht="15" hidden="false" customHeight="false" outlineLevel="0" collapsed="false">
      <c r="A65" s="16" t="n">
        <v>2</v>
      </c>
      <c r="B65" s="17" t="n">
        <v>50</v>
      </c>
      <c r="C65" s="17" t="s">
        <v>244</v>
      </c>
      <c r="D65" s="17" t="s">
        <v>211</v>
      </c>
      <c r="E65" s="17" t="n">
        <v>5000</v>
      </c>
      <c r="F65" s="18" t="n">
        <v>2000</v>
      </c>
      <c r="G65" s="0" t="n">
        <f aca="false">IF(D65="Mono&amp;Dual",MIN(E65,F65)*2,MIN(E65,F65))</f>
        <v>4000</v>
      </c>
    </row>
    <row r="66" customFormat="false" ht="15" hidden="false" customHeight="false" outlineLevel="0" collapsed="false">
      <c r="A66" s="19" t="n">
        <v>2</v>
      </c>
      <c r="B66" s="20" t="n">
        <v>50</v>
      </c>
      <c r="C66" s="20" t="s">
        <v>245</v>
      </c>
      <c r="D66" s="20" t="s">
        <v>211</v>
      </c>
      <c r="E66" s="20" t="n">
        <v>5000</v>
      </c>
      <c r="F66" s="21" t="n">
        <v>2000</v>
      </c>
      <c r="G66" s="0" t="n">
        <f aca="false">IF(D66="Mono&amp;Dual",MIN(E66,F66)*2,MIN(E66,F66))</f>
        <v>4000</v>
      </c>
    </row>
    <row r="67" customFormat="false" ht="15" hidden="false" customHeight="false" outlineLevel="0" collapsed="false">
      <c r="A67" s="16" t="n">
        <v>2</v>
      </c>
      <c r="B67" s="17" t="n">
        <v>50</v>
      </c>
      <c r="C67" s="17" t="s">
        <v>246</v>
      </c>
      <c r="D67" s="17" t="s">
        <v>211</v>
      </c>
      <c r="E67" s="17" t="n">
        <v>5000</v>
      </c>
      <c r="F67" s="18" t="n">
        <v>2000</v>
      </c>
      <c r="G67" s="0" t="n">
        <f aca="false">IF(D67="Mono&amp;Dual",MIN(E67,F67)*2,MIN(E67,F67))</f>
        <v>4000</v>
      </c>
    </row>
    <row r="68" customFormat="false" ht="15" hidden="false" customHeight="false" outlineLevel="0" collapsed="false">
      <c r="A68" s="19" t="n">
        <v>2</v>
      </c>
      <c r="B68" s="20" t="n">
        <v>50</v>
      </c>
      <c r="C68" s="20" t="s">
        <v>217</v>
      </c>
      <c r="D68" s="20" t="s">
        <v>36</v>
      </c>
      <c r="E68" s="20"/>
      <c r="F68" s="21" t="n">
        <v>2000</v>
      </c>
      <c r="G68" s="0" t="n">
        <f aca="false">IF(D68="Mono&amp;Dual",MIN(E68,F68)*2,MIN(E68,F68))</f>
        <v>2000</v>
      </c>
    </row>
    <row r="69" customFormat="false" ht="15" hidden="false" customHeight="false" outlineLevel="0" collapsed="false">
      <c r="A69" s="16" t="n">
        <v>2</v>
      </c>
      <c r="B69" s="17" t="n">
        <v>50</v>
      </c>
      <c r="C69" s="17" t="s">
        <v>218</v>
      </c>
      <c r="D69" s="17" t="s">
        <v>36</v>
      </c>
      <c r="E69" s="17"/>
      <c r="F69" s="18" t="n">
        <v>2000</v>
      </c>
      <c r="G69" s="0" t="n">
        <f aca="false">IF(D69="Mono&amp;Dual",MIN(E69,F69)*2,MIN(E69,F69))</f>
        <v>2000</v>
      </c>
    </row>
    <row r="70" customFormat="false" ht="15" hidden="false" customHeight="false" outlineLevel="0" collapsed="false">
      <c r="A70" s="19" t="n">
        <v>2</v>
      </c>
      <c r="B70" s="20" t="n">
        <v>50</v>
      </c>
      <c r="C70" s="20" t="s">
        <v>219</v>
      </c>
      <c r="D70" s="20" t="s">
        <v>36</v>
      </c>
      <c r="E70" s="20"/>
      <c r="F70" s="21" t="n">
        <v>2000</v>
      </c>
      <c r="G70" s="0" t="n">
        <f aca="false">IF(D70="Mono&amp;Dual",MIN(E70,F70)*2,MIN(E70,F70))</f>
        <v>2000</v>
      </c>
    </row>
    <row r="71" customFormat="false" ht="15" hidden="false" customHeight="false" outlineLevel="0" collapsed="false">
      <c r="A71" s="16" t="n">
        <v>2</v>
      </c>
      <c r="B71" s="17" t="n">
        <v>50</v>
      </c>
      <c r="C71" s="17" t="s">
        <v>220</v>
      </c>
      <c r="D71" s="17" t="s">
        <v>36</v>
      </c>
      <c r="E71" s="17"/>
      <c r="F71" s="18" t="n">
        <v>2000</v>
      </c>
      <c r="G71" s="0" t="n">
        <f aca="false">IF(D71="Mono&amp;Dual",MIN(E71,F71)*2,MIN(E71,F71))</f>
        <v>2000</v>
      </c>
    </row>
    <row r="72" customFormat="false" ht="15" hidden="false" customHeight="false" outlineLevel="0" collapsed="false">
      <c r="A72" s="19" t="n">
        <v>2</v>
      </c>
      <c r="B72" s="20" t="n">
        <v>50</v>
      </c>
      <c r="C72" s="20" t="s">
        <v>221</v>
      </c>
      <c r="D72" s="20" t="s">
        <v>36</v>
      </c>
      <c r="E72" s="20"/>
      <c r="F72" s="21" t="n">
        <v>2000</v>
      </c>
      <c r="G72" s="0" t="n">
        <f aca="false">IF(D72="Mono&amp;Dual",MIN(E72,F72)*2,MIN(E72,F72))</f>
        <v>2000</v>
      </c>
    </row>
    <row r="73" customFormat="false" ht="15" hidden="false" customHeight="false" outlineLevel="0" collapsed="false">
      <c r="A73" s="16" t="n">
        <v>2</v>
      </c>
      <c r="B73" s="17" t="n">
        <v>50</v>
      </c>
      <c r="C73" s="17" t="s">
        <v>222</v>
      </c>
      <c r="D73" s="17" t="s">
        <v>36</v>
      </c>
      <c r="E73" s="17"/>
      <c r="F73" s="18" t="n">
        <v>2000</v>
      </c>
      <c r="G73" s="0" t="n">
        <f aca="false">IF(D73="Mono&amp;Dual",MIN(E73,F73)*2,MIN(E73,F73))</f>
        <v>2000</v>
      </c>
    </row>
    <row r="74" customFormat="false" ht="15" hidden="false" customHeight="false" outlineLevel="0" collapsed="false">
      <c r="A74" s="19" t="n">
        <v>2</v>
      </c>
      <c r="B74" s="20" t="n">
        <v>50</v>
      </c>
      <c r="C74" s="20" t="s">
        <v>225</v>
      </c>
      <c r="D74" s="20" t="s">
        <v>36</v>
      </c>
      <c r="E74" s="20"/>
      <c r="F74" s="21" t="n">
        <v>2000</v>
      </c>
      <c r="G74" s="0" t="n">
        <f aca="false">IF(D74="Mono&amp;Dual",MIN(E74,F74)*2,MIN(E74,F74))</f>
        <v>2000</v>
      </c>
    </row>
    <row r="75" customFormat="false" ht="15" hidden="false" customHeight="false" outlineLevel="0" collapsed="false">
      <c r="A75" s="16" t="n">
        <v>2</v>
      </c>
      <c r="B75" s="17" t="n">
        <v>50</v>
      </c>
      <c r="C75" s="17" t="s">
        <v>226</v>
      </c>
      <c r="D75" s="17" t="s">
        <v>36</v>
      </c>
      <c r="E75" s="17"/>
      <c r="F75" s="18" t="n">
        <v>2000</v>
      </c>
      <c r="G75" s="0" t="n">
        <f aca="false">IF(D75="Mono&amp;Dual",MIN(E75,F75)*2,MIN(E75,F75))</f>
        <v>2000</v>
      </c>
    </row>
    <row r="76" customFormat="false" ht="15" hidden="false" customHeight="false" outlineLevel="0" collapsed="false">
      <c r="A76" s="19" t="n">
        <v>2</v>
      </c>
      <c r="B76" s="20" t="n">
        <v>50</v>
      </c>
      <c r="C76" s="20" t="s">
        <v>227</v>
      </c>
      <c r="D76" s="20" t="s">
        <v>36</v>
      </c>
      <c r="E76" s="20"/>
      <c r="F76" s="21" t="n">
        <v>2000</v>
      </c>
      <c r="G76" s="0" t="n">
        <f aca="false">IF(D76="Mono&amp;Dual",MIN(E76,F76)*2,MIN(E76,F76))</f>
        <v>2000</v>
      </c>
    </row>
    <row r="77" customFormat="false" ht="15" hidden="false" customHeight="false" outlineLevel="0" collapsed="false">
      <c r="A77" s="16" t="n">
        <v>2</v>
      </c>
      <c r="B77" s="17" t="n">
        <v>50</v>
      </c>
      <c r="C77" s="17" t="s">
        <v>228</v>
      </c>
      <c r="D77" s="17" t="s">
        <v>36</v>
      </c>
      <c r="E77" s="17"/>
      <c r="F77" s="18" t="n">
        <v>2000</v>
      </c>
      <c r="G77" s="0" t="n">
        <f aca="false">IF(D77="Mono&amp;Dual",MIN(E77,F77)*2,MIN(E77,F77))</f>
        <v>2000</v>
      </c>
    </row>
    <row r="78" customFormat="false" ht="15" hidden="false" customHeight="false" outlineLevel="0" collapsed="false">
      <c r="A78" s="19" t="n">
        <v>2</v>
      </c>
      <c r="B78" s="20" t="n">
        <v>100</v>
      </c>
      <c r="C78" s="20" t="s">
        <v>215</v>
      </c>
      <c r="D78" s="20" t="s">
        <v>211</v>
      </c>
      <c r="E78" s="20" t="n">
        <v>5000</v>
      </c>
      <c r="F78" s="21" t="n">
        <v>1000</v>
      </c>
      <c r="G78" s="0" t="n">
        <f aca="false">IF(D78="Mono&amp;Dual",MIN(E78,F78)*2,MIN(E78,F78))</f>
        <v>2000</v>
      </c>
    </row>
    <row r="79" customFormat="false" ht="15" hidden="false" customHeight="false" outlineLevel="0" collapsed="false">
      <c r="A79" s="16" t="n">
        <v>2</v>
      </c>
      <c r="B79" s="17" t="n">
        <v>100</v>
      </c>
      <c r="C79" s="17" t="s">
        <v>216</v>
      </c>
      <c r="D79" s="17" t="s">
        <v>211</v>
      </c>
      <c r="E79" s="17" t="n">
        <v>5000</v>
      </c>
      <c r="F79" s="18" t="n">
        <v>1000</v>
      </c>
      <c r="G79" s="0" t="n">
        <f aca="false">IF(D79="Mono&amp;Dual",MIN(E79,F79)*2,MIN(E79,F79))</f>
        <v>2000</v>
      </c>
    </row>
    <row r="80" customFormat="false" ht="15" hidden="false" customHeight="false" outlineLevel="0" collapsed="false">
      <c r="A80" s="19" t="n">
        <v>2</v>
      </c>
      <c r="B80" s="20" t="n">
        <v>100</v>
      </c>
      <c r="C80" s="20" t="s">
        <v>223</v>
      </c>
      <c r="D80" s="20" t="s">
        <v>211</v>
      </c>
      <c r="E80" s="20" t="n">
        <v>5000</v>
      </c>
      <c r="F80" s="21" t="n">
        <v>1000</v>
      </c>
      <c r="G80" s="0" t="n">
        <f aca="false">IF(D80="Mono&amp;Dual",MIN(E80,F80)*2,MIN(E80,F80))</f>
        <v>2000</v>
      </c>
    </row>
    <row r="81" customFormat="false" ht="15" hidden="false" customHeight="false" outlineLevel="0" collapsed="false">
      <c r="A81" s="16" t="n">
        <v>2</v>
      </c>
      <c r="B81" s="17" t="n">
        <v>100</v>
      </c>
      <c r="C81" s="17" t="s">
        <v>224</v>
      </c>
      <c r="D81" s="17" t="s">
        <v>211</v>
      </c>
      <c r="E81" s="17" t="n">
        <v>5000</v>
      </c>
      <c r="F81" s="18" t="n">
        <v>1000</v>
      </c>
      <c r="G81" s="0" t="n">
        <f aca="false">IF(D81="Mono&amp;Dual",MIN(E81,F81)*2,MIN(E81,F81))</f>
        <v>2000</v>
      </c>
    </row>
    <row r="82" customFormat="false" ht="15" hidden="false" customHeight="false" outlineLevel="0" collapsed="false">
      <c r="A82" s="19" t="n">
        <v>2</v>
      </c>
      <c r="B82" s="20" t="n">
        <v>100</v>
      </c>
      <c r="C82" s="20" t="s">
        <v>231</v>
      </c>
      <c r="D82" s="20" t="s">
        <v>211</v>
      </c>
      <c r="E82" s="20" t="n">
        <v>5000</v>
      </c>
      <c r="F82" s="21" t="n">
        <v>1000</v>
      </c>
      <c r="G82" s="0" t="n">
        <f aca="false">IF(D82="Mono&amp;Dual",MIN(E82,F82)*2,MIN(E82,F82))</f>
        <v>2000</v>
      </c>
    </row>
    <row r="83" customFormat="false" ht="15" hidden="false" customHeight="false" outlineLevel="0" collapsed="false">
      <c r="A83" s="16" t="n">
        <v>2</v>
      </c>
      <c r="B83" s="17" t="n">
        <v>100</v>
      </c>
      <c r="C83" s="17" t="s">
        <v>232</v>
      </c>
      <c r="D83" s="17" t="s">
        <v>211</v>
      </c>
      <c r="E83" s="17" t="n">
        <v>5000</v>
      </c>
      <c r="F83" s="18" t="n">
        <v>1000</v>
      </c>
      <c r="G83" s="0" t="n">
        <f aca="false">IF(D83="Mono&amp;Dual",MIN(E83,F83)*2,MIN(E83,F83))</f>
        <v>2000</v>
      </c>
    </row>
    <row r="84" customFormat="false" ht="15" hidden="false" customHeight="false" outlineLevel="0" collapsed="false">
      <c r="A84" s="19" t="n">
        <v>2</v>
      </c>
      <c r="B84" s="20" t="n">
        <v>100</v>
      </c>
      <c r="C84" s="20" t="s">
        <v>233</v>
      </c>
      <c r="D84" s="20" t="s">
        <v>211</v>
      </c>
      <c r="E84" s="20" t="n">
        <v>5000</v>
      </c>
      <c r="F84" s="21" t="n">
        <v>1000</v>
      </c>
      <c r="G84" s="0" t="n">
        <f aca="false">IF(D84="Mono&amp;Dual",MIN(E84,F84)*2,MIN(E84,F84))</f>
        <v>2000</v>
      </c>
    </row>
    <row r="85" customFormat="false" ht="15" hidden="false" customHeight="false" outlineLevel="0" collapsed="false">
      <c r="A85" s="16" t="n">
        <v>2</v>
      </c>
      <c r="B85" s="17" t="n">
        <v>100</v>
      </c>
      <c r="C85" s="17" t="s">
        <v>234</v>
      </c>
      <c r="D85" s="17" t="s">
        <v>211</v>
      </c>
      <c r="E85" s="17" t="n">
        <v>5000</v>
      </c>
      <c r="F85" s="18" t="n">
        <v>1000</v>
      </c>
      <c r="G85" s="0" t="n">
        <f aca="false">IF(D85="Mono&amp;Dual",MIN(E85,F85)*2,MIN(E85,F85))</f>
        <v>2000</v>
      </c>
    </row>
    <row r="86" customFormat="false" ht="15" hidden="false" customHeight="false" outlineLevel="0" collapsed="false">
      <c r="A86" s="19" t="n">
        <v>2</v>
      </c>
      <c r="B86" s="20" t="n">
        <v>100</v>
      </c>
      <c r="C86" s="20" t="s">
        <v>235</v>
      </c>
      <c r="D86" s="20" t="s">
        <v>211</v>
      </c>
      <c r="E86" s="20" t="n">
        <v>5000</v>
      </c>
      <c r="F86" s="21" t="n">
        <v>1000</v>
      </c>
      <c r="G86" s="0" t="n">
        <f aca="false">IF(D86="Mono&amp;Dual",MIN(E86,F86)*2,MIN(E86,F86))</f>
        <v>2000</v>
      </c>
    </row>
    <row r="87" customFormat="false" ht="15" hidden="false" customHeight="false" outlineLevel="0" collapsed="false">
      <c r="A87" s="16" t="n">
        <v>2</v>
      </c>
      <c r="B87" s="17" t="n">
        <v>100</v>
      </c>
      <c r="C87" s="17" t="s">
        <v>236</v>
      </c>
      <c r="D87" s="17" t="s">
        <v>211</v>
      </c>
      <c r="E87" s="17" t="n">
        <v>5000</v>
      </c>
      <c r="F87" s="18" t="n">
        <v>1000</v>
      </c>
      <c r="G87" s="0" t="n">
        <f aca="false">IF(D87="Mono&amp;Dual",MIN(E87,F87)*2,MIN(E87,F87))</f>
        <v>2000</v>
      </c>
    </row>
    <row r="88" customFormat="false" ht="15" hidden="false" customHeight="false" outlineLevel="0" collapsed="false">
      <c r="A88" s="19" t="n">
        <v>2</v>
      </c>
      <c r="B88" s="20" t="n">
        <v>100</v>
      </c>
      <c r="C88" s="20" t="s">
        <v>237</v>
      </c>
      <c r="D88" s="20" t="s">
        <v>211</v>
      </c>
      <c r="E88" s="20" t="n">
        <v>5000</v>
      </c>
      <c r="F88" s="21" t="n">
        <v>1000</v>
      </c>
      <c r="G88" s="0" t="n">
        <f aca="false">IF(D88="Mono&amp;Dual",MIN(E88,F88)*2,MIN(E88,F88))</f>
        <v>2000</v>
      </c>
    </row>
    <row r="89" customFormat="false" ht="15" hidden="false" customHeight="false" outlineLevel="0" collapsed="false">
      <c r="A89" s="16" t="n">
        <v>2</v>
      </c>
      <c r="B89" s="17" t="n">
        <v>100</v>
      </c>
      <c r="C89" s="17" t="s">
        <v>238</v>
      </c>
      <c r="D89" s="17" t="s">
        <v>211</v>
      </c>
      <c r="E89" s="17" t="n">
        <v>5000</v>
      </c>
      <c r="F89" s="18" t="n">
        <v>1000</v>
      </c>
      <c r="G89" s="0" t="n">
        <f aca="false">IF(D89="Mono&amp;Dual",MIN(E89,F89)*2,MIN(E89,F89))</f>
        <v>2000</v>
      </c>
    </row>
    <row r="90" customFormat="false" ht="15" hidden="false" customHeight="false" outlineLevel="0" collapsed="false">
      <c r="A90" s="19" t="n">
        <v>2</v>
      </c>
      <c r="B90" s="20" t="n">
        <v>100</v>
      </c>
      <c r="C90" s="20" t="s">
        <v>239</v>
      </c>
      <c r="D90" s="20" t="s">
        <v>211</v>
      </c>
      <c r="E90" s="20" t="n">
        <v>5000</v>
      </c>
      <c r="F90" s="21" t="n">
        <v>1000</v>
      </c>
      <c r="G90" s="0" t="n">
        <f aca="false">IF(D90="Mono&amp;Dual",MIN(E90,F90)*2,MIN(E90,F90))</f>
        <v>2000</v>
      </c>
    </row>
    <row r="91" customFormat="false" ht="15" hidden="false" customHeight="false" outlineLevel="0" collapsed="false">
      <c r="A91" s="16" t="n">
        <v>2</v>
      </c>
      <c r="B91" s="17" t="n">
        <v>100</v>
      </c>
      <c r="C91" s="17" t="s">
        <v>240</v>
      </c>
      <c r="D91" s="17" t="s">
        <v>211</v>
      </c>
      <c r="E91" s="17" t="n">
        <v>5000</v>
      </c>
      <c r="F91" s="18" t="n">
        <v>1000</v>
      </c>
      <c r="G91" s="0" t="n">
        <f aca="false">IF(D91="Mono&amp;Dual",MIN(E91,F91)*2,MIN(E91,F91))</f>
        <v>2000</v>
      </c>
    </row>
    <row r="92" customFormat="false" ht="15" hidden="false" customHeight="false" outlineLevel="0" collapsed="false">
      <c r="A92" s="19" t="n">
        <v>2</v>
      </c>
      <c r="B92" s="20" t="n">
        <v>100</v>
      </c>
      <c r="C92" s="20" t="s">
        <v>241</v>
      </c>
      <c r="D92" s="20" t="s">
        <v>211</v>
      </c>
      <c r="E92" s="20" t="n">
        <v>5000</v>
      </c>
      <c r="F92" s="21" t="n">
        <v>1000</v>
      </c>
      <c r="G92" s="0" t="n">
        <f aca="false">IF(D92="Mono&amp;Dual",MIN(E92,F92)*2,MIN(E92,F92))</f>
        <v>2000</v>
      </c>
    </row>
    <row r="93" customFormat="false" ht="15" hidden="false" customHeight="false" outlineLevel="0" collapsed="false">
      <c r="A93" s="16" t="n">
        <v>2</v>
      </c>
      <c r="B93" s="17" t="n">
        <v>100</v>
      </c>
      <c r="C93" s="17" t="s">
        <v>242</v>
      </c>
      <c r="D93" s="17" t="s">
        <v>211</v>
      </c>
      <c r="E93" s="17" t="n">
        <v>5000</v>
      </c>
      <c r="F93" s="18" t="n">
        <v>1000</v>
      </c>
      <c r="G93" s="0" t="n">
        <f aca="false">IF(D93="Mono&amp;Dual",MIN(E93,F93)*2,MIN(E93,F93))</f>
        <v>2000</v>
      </c>
    </row>
    <row r="94" customFormat="false" ht="15" hidden="false" customHeight="false" outlineLevel="0" collapsed="false">
      <c r="A94" s="19" t="n">
        <v>2</v>
      </c>
      <c r="B94" s="20" t="n">
        <v>100</v>
      </c>
      <c r="C94" s="20" t="s">
        <v>243</v>
      </c>
      <c r="D94" s="20" t="s">
        <v>211</v>
      </c>
      <c r="E94" s="20" t="n">
        <v>5000</v>
      </c>
      <c r="F94" s="21" t="n">
        <v>1000</v>
      </c>
      <c r="G94" s="0" t="n">
        <f aca="false">IF(D94="Mono&amp;Dual",MIN(E94,F94)*2,MIN(E94,F94))</f>
        <v>2000</v>
      </c>
    </row>
    <row r="95" customFormat="false" ht="15" hidden="false" customHeight="false" outlineLevel="0" collapsed="false">
      <c r="A95" s="16" t="n">
        <v>2</v>
      </c>
      <c r="B95" s="17" t="n">
        <v>100</v>
      </c>
      <c r="C95" s="17" t="s">
        <v>244</v>
      </c>
      <c r="D95" s="17" t="s">
        <v>211</v>
      </c>
      <c r="E95" s="17" t="n">
        <v>5000</v>
      </c>
      <c r="F95" s="18" t="n">
        <v>1000</v>
      </c>
      <c r="G95" s="0" t="n">
        <f aca="false">IF(D95="Mono&amp;Dual",MIN(E95,F95)*2,MIN(E95,F95))</f>
        <v>2000</v>
      </c>
    </row>
    <row r="96" customFormat="false" ht="15" hidden="false" customHeight="false" outlineLevel="0" collapsed="false">
      <c r="A96" s="19" t="n">
        <v>2</v>
      </c>
      <c r="B96" s="20" t="n">
        <v>100</v>
      </c>
      <c r="C96" s="20" t="s">
        <v>245</v>
      </c>
      <c r="D96" s="20" t="s">
        <v>211</v>
      </c>
      <c r="E96" s="20" t="n">
        <v>5000</v>
      </c>
      <c r="F96" s="21" t="n">
        <v>1000</v>
      </c>
      <c r="G96" s="0" t="n">
        <f aca="false">IF(D96="Mono&amp;Dual",MIN(E96,F96)*2,MIN(E96,F96))</f>
        <v>2000</v>
      </c>
    </row>
    <row r="97" customFormat="false" ht="15" hidden="false" customHeight="false" outlineLevel="0" collapsed="false">
      <c r="A97" s="16" t="n">
        <v>2</v>
      </c>
      <c r="B97" s="17" t="n">
        <v>100</v>
      </c>
      <c r="C97" s="17" t="s">
        <v>246</v>
      </c>
      <c r="D97" s="17" t="s">
        <v>211</v>
      </c>
      <c r="E97" s="17" t="n">
        <v>5000</v>
      </c>
      <c r="F97" s="18" t="n">
        <v>1000</v>
      </c>
      <c r="G97" s="0" t="n">
        <f aca="false">IF(D97="Mono&amp;Dual",MIN(E97,F97)*2,MIN(E97,F97))</f>
        <v>2000</v>
      </c>
    </row>
    <row r="98" customFormat="false" ht="15" hidden="false" customHeight="false" outlineLevel="0" collapsed="false">
      <c r="A98" s="19" t="n">
        <v>2</v>
      </c>
      <c r="B98" s="20" t="n">
        <v>100</v>
      </c>
      <c r="C98" s="20" t="s">
        <v>217</v>
      </c>
      <c r="D98" s="20" t="s">
        <v>36</v>
      </c>
      <c r="E98" s="20"/>
      <c r="F98" s="21" t="n">
        <v>1000</v>
      </c>
      <c r="G98" s="0" t="n">
        <f aca="false">IF(D98="Mono&amp;Dual",MIN(E98,F98)*2,MIN(E98,F98))</f>
        <v>1000</v>
      </c>
    </row>
    <row r="99" customFormat="false" ht="15" hidden="false" customHeight="false" outlineLevel="0" collapsed="false">
      <c r="A99" s="16" t="n">
        <v>2</v>
      </c>
      <c r="B99" s="17" t="n">
        <v>100</v>
      </c>
      <c r="C99" s="17" t="s">
        <v>218</v>
      </c>
      <c r="D99" s="17" t="s">
        <v>36</v>
      </c>
      <c r="E99" s="17"/>
      <c r="F99" s="18" t="n">
        <v>1000</v>
      </c>
      <c r="G99" s="0" t="n">
        <f aca="false">IF(D99="Mono&amp;Dual",MIN(E99,F99)*2,MIN(E99,F99))</f>
        <v>1000</v>
      </c>
    </row>
    <row r="100" customFormat="false" ht="15" hidden="false" customHeight="false" outlineLevel="0" collapsed="false">
      <c r="A100" s="19" t="n">
        <v>2</v>
      </c>
      <c r="B100" s="20" t="n">
        <v>100</v>
      </c>
      <c r="C100" s="20" t="s">
        <v>219</v>
      </c>
      <c r="D100" s="20" t="s">
        <v>36</v>
      </c>
      <c r="E100" s="20"/>
      <c r="F100" s="21" t="n">
        <v>1000</v>
      </c>
      <c r="G100" s="0" t="n">
        <f aca="false">IF(D100="Mono&amp;Dual",MIN(E100,F100)*2,MIN(E100,F100))</f>
        <v>1000</v>
      </c>
    </row>
    <row r="101" customFormat="false" ht="15" hidden="false" customHeight="false" outlineLevel="0" collapsed="false">
      <c r="A101" s="16" t="n">
        <v>2</v>
      </c>
      <c r="B101" s="17" t="n">
        <v>100</v>
      </c>
      <c r="C101" s="17" t="s">
        <v>220</v>
      </c>
      <c r="D101" s="17" t="s">
        <v>36</v>
      </c>
      <c r="E101" s="17"/>
      <c r="F101" s="18" t="n">
        <v>1000</v>
      </c>
      <c r="G101" s="0" t="n">
        <f aca="false">IF(D101="Mono&amp;Dual",MIN(E101,F101)*2,MIN(E101,F101))</f>
        <v>1000</v>
      </c>
    </row>
    <row r="102" customFormat="false" ht="15" hidden="false" customHeight="false" outlineLevel="0" collapsed="false">
      <c r="A102" s="19" t="n">
        <v>2</v>
      </c>
      <c r="B102" s="20" t="n">
        <v>100</v>
      </c>
      <c r="C102" s="20" t="s">
        <v>221</v>
      </c>
      <c r="D102" s="20" t="s">
        <v>36</v>
      </c>
      <c r="E102" s="20"/>
      <c r="F102" s="21" t="n">
        <v>1000</v>
      </c>
      <c r="G102" s="0" t="n">
        <f aca="false">IF(D102="Mono&amp;Dual",MIN(E102,F102)*2,MIN(E102,F102))</f>
        <v>1000</v>
      </c>
    </row>
    <row r="103" customFormat="false" ht="15" hidden="false" customHeight="false" outlineLevel="0" collapsed="false">
      <c r="A103" s="16" t="n">
        <v>2</v>
      </c>
      <c r="B103" s="17" t="n">
        <v>100</v>
      </c>
      <c r="C103" s="17" t="s">
        <v>222</v>
      </c>
      <c r="D103" s="17" t="s">
        <v>36</v>
      </c>
      <c r="E103" s="17"/>
      <c r="F103" s="18" t="n">
        <v>1000</v>
      </c>
      <c r="G103" s="0" t="n">
        <f aca="false">IF(D103="Mono&amp;Dual",MIN(E103,F103)*2,MIN(E103,F103))</f>
        <v>1000</v>
      </c>
    </row>
    <row r="104" customFormat="false" ht="15" hidden="false" customHeight="false" outlineLevel="0" collapsed="false">
      <c r="A104" s="19" t="n">
        <v>2</v>
      </c>
      <c r="B104" s="20" t="n">
        <v>100</v>
      </c>
      <c r="C104" s="20" t="s">
        <v>225</v>
      </c>
      <c r="D104" s="20" t="s">
        <v>36</v>
      </c>
      <c r="E104" s="20"/>
      <c r="F104" s="21" t="n">
        <v>1000</v>
      </c>
      <c r="G104" s="0" t="n">
        <f aca="false">IF(D104="Mono&amp;Dual",MIN(E104,F104)*2,MIN(E104,F104))</f>
        <v>1000</v>
      </c>
    </row>
    <row r="105" customFormat="false" ht="15" hidden="false" customHeight="false" outlineLevel="0" collapsed="false">
      <c r="A105" s="16" t="n">
        <v>2</v>
      </c>
      <c r="B105" s="17" t="n">
        <v>100</v>
      </c>
      <c r="C105" s="17" t="s">
        <v>226</v>
      </c>
      <c r="D105" s="17" t="s">
        <v>36</v>
      </c>
      <c r="E105" s="17"/>
      <c r="F105" s="18" t="n">
        <v>1000</v>
      </c>
      <c r="G105" s="0" t="n">
        <f aca="false">IF(D105="Mono&amp;Dual",MIN(E105,F105)*2,MIN(E105,F105))</f>
        <v>1000</v>
      </c>
    </row>
    <row r="106" customFormat="false" ht="15" hidden="false" customHeight="false" outlineLevel="0" collapsed="false">
      <c r="A106" s="19" t="n">
        <v>2</v>
      </c>
      <c r="B106" s="20" t="n">
        <v>100</v>
      </c>
      <c r="C106" s="20" t="s">
        <v>227</v>
      </c>
      <c r="D106" s="20" t="s">
        <v>36</v>
      </c>
      <c r="E106" s="20"/>
      <c r="F106" s="21" t="n">
        <v>1000</v>
      </c>
      <c r="G106" s="0" t="n">
        <f aca="false">IF(D106="Mono&amp;Dual",MIN(E106,F106)*2,MIN(E106,F106))</f>
        <v>1000</v>
      </c>
    </row>
    <row r="107" customFormat="false" ht="15" hidden="false" customHeight="false" outlineLevel="0" collapsed="false">
      <c r="A107" s="16" t="n">
        <v>2</v>
      </c>
      <c r="B107" s="17" t="n">
        <v>100</v>
      </c>
      <c r="C107" s="17" t="s">
        <v>228</v>
      </c>
      <c r="D107" s="17" t="s">
        <v>36</v>
      </c>
      <c r="E107" s="17"/>
      <c r="F107" s="18" t="n">
        <v>1000</v>
      </c>
      <c r="G107" s="0" t="n">
        <f aca="false">IF(D107="Mono&amp;Dual",MIN(E107,F107)*2,MIN(E107,F107))</f>
        <v>1000</v>
      </c>
    </row>
    <row r="108" customFormat="false" ht="15" hidden="false" customHeight="false" outlineLevel="0" collapsed="false">
      <c r="A108" s="19" t="n">
        <v>2</v>
      </c>
      <c r="B108" s="20" t="n">
        <v>100</v>
      </c>
      <c r="C108" s="20" t="s">
        <v>229</v>
      </c>
      <c r="D108" s="20" t="s">
        <v>36</v>
      </c>
      <c r="E108" s="20"/>
      <c r="F108" s="21" t="n">
        <v>1000</v>
      </c>
      <c r="G108" s="0" t="n">
        <f aca="false">IF(D108="Mono&amp;Dual",MIN(E108,F108)*2,MIN(E108,F108))</f>
        <v>1000</v>
      </c>
    </row>
    <row r="109" customFormat="false" ht="15" hidden="false" customHeight="false" outlineLevel="0" collapsed="false">
      <c r="A109" s="16" t="n">
        <v>2</v>
      </c>
      <c r="B109" s="17" t="n">
        <v>100</v>
      </c>
      <c r="C109" s="17" t="s">
        <v>230</v>
      </c>
      <c r="D109" s="17" t="s">
        <v>36</v>
      </c>
      <c r="E109" s="17"/>
      <c r="F109" s="18" t="n">
        <v>1000</v>
      </c>
      <c r="G109" s="0" t="n">
        <f aca="false">IF(D109="Mono&amp;Dual",MIN(E109,F109)*2,MIN(E109,F109))</f>
        <v>1000</v>
      </c>
    </row>
    <row r="110" customFormat="false" ht="15" hidden="false" customHeight="false" outlineLevel="0" collapsed="false">
      <c r="A110" s="19" t="n">
        <v>2</v>
      </c>
      <c r="B110" s="20" t="n">
        <v>100</v>
      </c>
      <c r="C110" s="20" t="s">
        <v>247</v>
      </c>
      <c r="D110" s="20" t="s">
        <v>36</v>
      </c>
      <c r="E110" s="20"/>
      <c r="F110" s="21" t="n">
        <v>1000</v>
      </c>
      <c r="G110" s="0" t="n">
        <f aca="false">IF(D110="Mono&amp;Dual",MIN(E110,F110)*2,MIN(E110,F110))</f>
        <v>1000</v>
      </c>
    </row>
    <row r="111" customFormat="false" ht="15" hidden="false" customHeight="false" outlineLevel="0" collapsed="false">
      <c r="A111" s="16" t="n">
        <v>2</v>
      </c>
      <c r="B111" s="17" t="n">
        <v>100</v>
      </c>
      <c r="C111" s="17" t="s">
        <v>248</v>
      </c>
      <c r="D111" s="17" t="s">
        <v>36</v>
      </c>
      <c r="E111" s="17"/>
      <c r="F111" s="18" t="n">
        <v>1000</v>
      </c>
      <c r="G111" s="0" t="n">
        <f aca="false">IF(D111="Mono&amp;Dual",MIN(E111,F111)*2,MIN(E111,F111))</f>
        <v>1000</v>
      </c>
    </row>
    <row r="112" customFormat="false" ht="15" hidden="false" customHeight="false" outlineLevel="0" collapsed="false">
      <c r="A112" s="19" t="n">
        <v>2</v>
      </c>
      <c r="B112" s="20" t="n">
        <v>100</v>
      </c>
      <c r="C112" s="20" t="s">
        <v>249</v>
      </c>
      <c r="D112" s="20" t="s">
        <v>36</v>
      </c>
      <c r="E112" s="20"/>
      <c r="F112" s="21" t="n">
        <v>1000</v>
      </c>
      <c r="G112" s="0" t="n">
        <f aca="false">IF(D112="Mono&amp;Dual",MIN(E112,F112)*2,MIN(E112,F112))</f>
        <v>1000</v>
      </c>
    </row>
    <row r="113" customFormat="false" ht="15" hidden="false" customHeight="false" outlineLevel="0" collapsed="false">
      <c r="A113" s="16" t="n">
        <v>2</v>
      </c>
      <c r="B113" s="17" t="n">
        <v>100</v>
      </c>
      <c r="C113" s="17" t="s">
        <v>250</v>
      </c>
      <c r="D113" s="17" t="s">
        <v>36</v>
      </c>
      <c r="E113" s="17"/>
      <c r="F113" s="18" t="n">
        <v>1000</v>
      </c>
      <c r="G113" s="0" t="n">
        <f aca="false">IF(D113="Mono&amp;Dual",MIN(E113,F113)*2,MIN(E113,F113))</f>
        <v>1000</v>
      </c>
    </row>
    <row r="114" customFormat="false" ht="15" hidden="false" customHeight="false" outlineLevel="0" collapsed="false">
      <c r="A114" s="19" t="n">
        <v>2</v>
      </c>
      <c r="B114" s="20" t="n">
        <v>100</v>
      </c>
      <c r="C114" s="20" t="s">
        <v>251</v>
      </c>
      <c r="D114" s="20" t="s">
        <v>36</v>
      </c>
      <c r="E114" s="20"/>
      <c r="F114" s="21" t="n">
        <v>1000</v>
      </c>
      <c r="G114" s="0" t="n">
        <f aca="false">IF(D114="Mono&amp;Dual",MIN(E114,F114)*2,MIN(E114,F114))</f>
        <v>1000</v>
      </c>
    </row>
    <row r="115" customFormat="false" ht="15" hidden="false" customHeight="false" outlineLevel="0" collapsed="false">
      <c r="A115" s="16" t="n">
        <v>2</v>
      </c>
      <c r="B115" s="17" t="n">
        <v>100</v>
      </c>
      <c r="C115" s="17" t="s">
        <v>252</v>
      </c>
      <c r="D115" s="17" t="s">
        <v>36</v>
      </c>
      <c r="E115" s="17"/>
      <c r="F115" s="18" t="n">
        <v>1000</v>
      </c>
      <c r="G115" s="0" t="n">
        <f aca="false">IF(D115="Mono&amp;Dual",MIN(E115,F115)*2,MIN(E115,F115))</f>
        <v>1000</v>
      </c>
    </row>
    <row r="116" customFormat="false" ht="15" hidden="false" customHeight="false" outlineLevel="0" collapsed="false">
      <c r="A116" s="19" t="n">
        <v>2</v>
      </c>
      <c r="B116" s="20" t="n">
        <v>100</v>
      </c>
      <c r="C116" s="20" t="s">
        <v>253</v>
      </c>
      <c r="D116" s="20" t="s">
        <v>36</v>
      </c>
      <c r="E116" s="20"/>
      <c r="F116" s="21" t="n">
        <v>1000</v>
      </c>
      <c r="G116" s="0" t="n">
        <f aca="false">IF(D116="Mono&amp;Dual",MIN(E116,F116)*2,MIN(E116,F116))</f>
        <v>1000</v>
      </c>
    </row>
    <row r="117" customFormat="false" ht="15" hidden="false" customHeight="false" outlineLevel="0" collapsed="false">
      <c r="A117" s="16" t="n">
        <v>2</v>
      </c>
      <c r="B117" s="17" t="n">
        <v>100</v>
      </c>
      <c r="C117" s="17" t="s">
        <v>254</v>
      </c>
      <c r="D117" s="17" t="s">
        <v>36</v>
      </c>
      <c r="E117" s="17"/>
      <c r="F117" s="18" t="n">
        <v>1000</v>
      </c>
      <c r="G117" s="0" t="n">
        <f aca="false">IF(D117="Mono&amp;Dual",MIN(E117,F117)*2,MIN(E117,F117))</f>
        <v>1000</v>
      </c>
    </row>
    <row r="118" customFormat="false" ht="15" hidden="false" customHeight="false" outlineLevel="0" collapsed="false">
      <c r="A118" s="19" t="n">
        <v>2</v>
      </c>
      <c r="B118" s="20" t="n">
        <v>100</v>
      </c>
      <c r="C118" s="20" t="s">
        <v>255</v>
      </c>
      <c r="D118" s="20" t="s">
        <v>36</v>
      </c>
      <c r="E118" s="20"/>
      <c r="F118" s="21" t="n">
        <v>1000</v>
      </c>
      <c r="G118" s="0" t="n">
        <f aca="false">IF(D118="Mono&amp;Dual",MIN(E118,F118)*2,MIN(E118,F118))</f>
        <v>1000</v>
      </c>
    </row>
    <row r="119" customFormat="false" ht="15" hidden="false" customHeight="false" outlineLevel="0" collapsed="false">
      <c r="A119" s="16" t="n">
        <v>2</v>
      </c>
      <c r="B119" s="17" t="n">
        <v>100</v>
      </c>
      <c r="C119" s="17" t="s">
        <v>256</v>
      </c>
      <c r="D119" s="17" t="s">
        <v>36</v>
      </c>
      <c r="E119" s="17"/>
      <c r="F119" s="18" t="n">
        <v>1000</v>
      </c>
      <c r="G119" s="0" t="n">
        <f aca="false">IF(D119="Mono&amp;Dual",MIN(E119,F119)*2,MIN(E119,F119))</f>
        <v>1000</v>
      </c>
    </row>
    <row r="120" customFormat="false" ht="15" hidden="false" customHeight="false" outlineLevel="0" collapsed="false">
      <c r="A120" s="19" t="n">
        <v>2</v>
      </c>
      <c r="B120" s="20" t="n">
        <v>100</v>
      </c>
      <c r="C120" s="20" t="s">
        <v>257</v>
      </c>
      <c r="D120" s="20" t="s">
        <v>36</v>
      </c>
      <c r="E120" s="20"/>
      <c r="F120" s="21" t="n">
        <v>1000</v>
      </c>
      <c r="G120" s="0" t="n">
        <f aca="false">IF(D120="Mono&amp;Dual",MIN(E120,F120)*2,MIN(E120,F120))</f>
        <v>1000</v>
      </c>
    </row>
    <row r="121" customFormat="false" ht="15" hidden="false" customHeight="false" outlineLevel="0" collapsed="false">
      <c r="A121" s="16" t="n">
        <v>2</v>
      </c>
      <c r="B121" s="17" t="n">
        <v>100</v>
      </c>
      <c r="C121" s="17" t="s">
        <v>258</v>
      </c>
      <c r="D121" s="17" t="s">
        <v>36</v>
      </c>
      <c r="E121" s="17"/>
      <c r="F121" s="18" t="n">
        <v>1000</v>
      </c>
      <c r="G121" s="0" t="n">
        <f aca="false">IF(D121="Mono&amp;Dual",MIN(E121,F121)*2,MIN(E121,F121))</f>
        <v>1000</v>
      </c>
    </row>
    <row r="122" customFormat="false" ht="15" hidden="false" customHeight="false" outlineLevel="0" collapsed="false">
      <c r="A122" s="19" t="n">
        <v>2</v>
      </c>
      <c r="B122" s="20" t="n">
        <v>100</v>
      </c>
      <c r="C122" s="20" t="s">
        <v>259</v>
      </c>
      <c r="D122" s="20" t="s">
        <v>36</v>
      </c>
      <c r="E122" s="20"/>
      <c r="F122" s="21" t="n">
        <v>1000</v>
      </c>
      <c r="G122" s="0" t="n">
        <f aca="false">IF(D122="Mono&amp;Dual",MIN(E122,F122)*2,MIN(E122,F122))</f>
        <v>1000</v>
      </c>
    </row>
    <row r="123" customFormat="false" ht="15" hidden="false" customHeight="false" outlineLevel="0" collapsed="false">
      <c r="A123" s="16" t="n">
        <v>2</v>
      </c>
      <c r="B123" s="17" t="n">
        <v>100</v>
      </c>
      <c r="C123" s="17" t="s">
        <v>260</v>
      </c>
      <c r="D123" s="17" t="s">
        <v>36</v>
      </c>
      <c r="E123" s="17"/>
      <c r="F123" s="18" t="n">
        <v>1000</v>
      </c>
      <c r="G123" s="0" t="n">
        <f aca="false">IF(D123="Mono&amp;Dual",MIN(E123,F123)*2,MIN(E123,F123))</f>
        <v>1000</v>
      </c>
    </row>
    <row r="124" customFormat="false" ht="15" hidden="false" customHeight="false" outlineLevel="0" collapsed="false">
      <c r="A124" s="19" t="n">
        <v>2</v>
      </c>
      <c r="B124" s="20" t="n">
        <v>100</v>
      </c>
      <c r="C124" s="20" t="s">
        <v>261</v>
      </c>
      <c r="D124" s="20" t="s">
        <v>36</v>
      </c>
      <c r="E124" s="20"/>
      <c r="F124" s="21" t="n">
        <v>1000</v>
      </c>
      <c r="G124" s="0" t="n">
        <f aca="false">IF(D124="Mono&amp;Dual",MIN(E124,F124)*2,MIN(E124,F124))</f>
        <v>1000</v>
      </c>
    </row>
    <row r="125" customFormat="false" ht="15" hidden="false" customHeight="false" outlineLevel="0" collapsed="false">
      <c r="A125" s="16" t="n">
        <v>2</v>
      </c>
      <c r="B125" s="17" t="n">
        <v>100</v>
      </c>
      <c r="C125" s="17" t="s">
        <v>262</v>
      </c>
      <c r="D125" s="17" t="s">
        <v>36</v>
      </c>
      <c r="E125" s="17"/>
      <c r="F125" s="18" t="n">
        <v>1000</v>
      </c>
      <c r="G125" s="0" t="n">
        <f aca="false">IF(D125="Mono&amp;Dual",MIN(E125,F125)*2,MIN(E125,F125))</f>
        <v>1000</v>
      </c>
    </row>
    <row r="126" customFormat="false" ht="15" hidden="false" customHeight="false" outlineLevel="0" collapsed="false">
      <c r="A126" s="19" t="n">
        <v>2</v>
      </c>
      <c r="B126" s="20" t="n">
        <v>100</v>
      </c>
      <c r="C126" s="20" t="s">
        <v>263</v>
      </c>
      <c r="D126" s="20" t="s">
        <v>36</v>
      </c>
      <c r="E126" s="20"/>
      <c r="F126" s="21" t="n">
        <v>1000</v>
      </c>
      <c r="G126" s="0" t="n">
        <f aca="false">IF(D126="Mono&amp;Dual",MIN(E126,F126)*2,MIN(E126,F126))</f>
        <v>1000</v>
      </c>
    </row>
    <row r="127" customFormat="false" ht="15" hidden="false" customHeight="false" outlineLevel="0" collapsed="false">
      <c r="A127" s="16" t="n">
        <v>2</v>
      </c>
      <c r="B127" s="17" t="n">
        <v>100</v>
      </c>
      <c r="C127" s="17" t="s">
        <v>264</v>
      </c>
      <c r="D127" s="17" t="s">
        <v>36</v>
      </c>
      <c r="E127" s="17"/>
      <c r="F127" s="18" t="n">
        <v>1000</v>
      </c>
      <c r="G127" s="0" t="n">
        <f aca="false">IF(D127="Mono&amp;Dual",MIN(E127,F127)*2,MIN(E127,F127))</f>
        <v>1000</v>
      </c>
    </row>
    <row r="128" customFormat="false" ht="15" hidden="false" customHeight="false" outlineLevel="0" collapsed="false">
      <c r="A128" s="19" t="n">
        <v>2</v>
      </c>
      <c r="B128" s="20" t="n">
        <v>100</v>
      </c>
      <c r="C128" s="20" t="s">
        <v>265</v>
      </c>
      <c r="D128" s="20" t="s">
        <v>36</v>
      </c>
      <c r="E128" s="20"/>
      <c r="F128" s="21" t="n">
        <v>1000</v>
      </c>
      <c r="G128" s="0" t="n">
        <f aca="false">IF(D128="Mono&amp;Dual",MIN(E128,F128)*2,MIN(E128,F128))</f>
        <v>1000</v>
      </c>
    </row>
    <row r="129" customFormat="false" ht="15" hidden="false" customHeight="false" outlineLevel="0" collapsed="false">
      <c r="A129" s="16" t="n">
        <v>2</v>
      </c>
      <c r="B129" s="17" t="n">
        <v>100</v>
      </c>
      <c r="C129" s="17" t="s">
        <v>266</v>
      </c>
      <c r="D129" s="17" t="s">
        <v>36</v>
      </c>
      <c r="E129" s="17"/>
      <c r="F129" s="18" t="n">
        <v>1000</v>
      </c>
      <c r="G129" s="0" t="n">
        <f aca="false">IF(D129="Mono&amp;Dual",MIN(E129,F129)*2,MIN(E129,F129))</f>
        <v>1000</v>
      </c>
    </row>
    <row r="130" customFormat="false" ht="15" hidden="false" customHeight="false" outlineLevel="0" collapsed="false">
      <c r="A130" s="19" t="n">
        <v>2</v>
      </c>
      <c r="B130" s="20" t="n">
        <v>100</v>
      </c>
      <c r="C130" s="20" t="s">
        <v>267</v>
      </c>
      <c r="D130" s="20" t="s">
        <v>36</v>
      </c>
      <c r="E130" s="20"/>
      <c r="F130" s="21" t="n">
        <v>1000</v>
      </c>
      <c r="G130" s="0" t="n">
        <f aca="false">IF(D130="Mono&amp;Dual",MIN(E130,F130)*2,MIN(E130,F130))</f>
        <v>1000</v>
      </c>
    </row>
    <row r="131" customFormat="false" ht="15" hidden="false" customHeight="false" outlineLevel="0" collapsed="false">
      <c r="A131" s="16" t="n">
        <v>2</v>
      </c>
      <c r="B131" s="17" t="n">
        <v>100</v>
      </c>
      <c r="C131" s="17" t="s">
        <v>268</v>
      </c>
      <c r="D131" s="17" t="s">
        <v>36</v>
      </c>
      <c r="E131" s="17"/>
      <c r="F131" s="18" t="n">
        <v>1000</v>
      </c>
      <c r="G131" s="0" t="n">
        <f aca="false">IF(D131="Mono&amp;Dual",MIN(E131,F131)*2,MIN(E131,F131))</f>
        <v>1000</v>
      </c>
    </row>
    <row r="132" customFormat="false" ht="15" hidden="false" customHeight="false" outlineLevel="0" collapsed="false">
      <c r="A132" s="19" t="n">
        <v>2</v>
      </c>
      <c r="B132" s="20" t="n">
        <v>100</v>
      </c>
      <c r="C132" s="20" t="s">
        <v>269</v>
      </c>
      <c r="D132" s="20" t="s">
        <v>36</v>
      </c>
      <c r="E132" s="20"/>
      <c r="F132" s="21" t="n">
        <v>1000</v>
      </c>
      <c r="G132" s="0" t="n">
        <f aca="false">IF(D132="Mono&amp;Dual",MIN(E132,F132)*2,MIN(E132,F132))</f>
        <v>1000</v>
      </c>
    </row>
    <row r="133" customFormat="false" ht="15" hidden="false" customHeight="false" outlineLevel="0" collapsed="false">
      <c r="A133" s="16" t="n">
        <v>2</v>
      </c>
      <c r="B133" s="17" t="n">
        <v>100</v>
      </c>
      <c r="C133" s="17" t="s">
        <v>270</v>
      </c>
      <c r="D133" s="17" t="s">
        <v>36</v>
      </c>
      <c r="E133" s="17"/>
      <c r="F133" s="18" t="n">
        <v>1000</v>
      </c>
      <c r="G133" s="0" t="n">
        <f aca="false">IF(D133="Mono&amp;Dual",MIN(E133,F133)*2,MIN(E133,F133))</f>
        <v>1000</v>
      </c>
    </row>
    <row r="134" customFormat="false" ht="15" hidden="false" customHeight="false" outlineLevel="0" collapsed="false">
      <c r="A134" s="19" t="n">
        <v>2</v>
      </c>
      <c r="B134" s="20" t="n">
        <v>100</v>
      </c>
      <c r="C134" s="20" t="s">
        <v>271</v>
      </c>
      <c r="D134" s="20" t="s">
        <v>36</v>
      </c>
      <c r="E134" s="20"/>
      <c r="F134" s="21" t="n">
        <v>1000</v>
      </c>
      <c r="G134" s="0" t="n">
        <f aca="false">IF(D134="Mono&amp;Dual",MIN(E134,F134)*2,MIN(E134,F134))</f>
        <v>1000</v>
      </c>
    </row>
    <row r="135" customFormat="false" ht="15" hidden="false" customHeight="false" outlineLevel="0" collapsed="false">
      <c r="A135" s="16" t="n">
        <v>2</v>
      </c>
      <c r="B135" s="17" t="n">
        <v>100</v>
      </c>
      <c r="C135" s="17" t="s">
        <v>272</v>
      </c>
      <c r="D135" s="17" t="s">
        <v>36</v>
      </c>
      <c r="E135" s="17"/>
      <c r="F135" s="18" t="n">
        <v>1000</v>
      </c>
      <c r="G135" s="0" t="n">
        <f aca="false">IF(D135="Mono&amp;Dual",MIN(E135,F135)*2,MIN(E135,F135))</f>
        <v>1000</v>
      </c>
    </row>
    <row r="136" customFormat="false" ht="15" hidden="false" customHeight="false" outlineLevel="0" collapsed="false">
      <c r="A136" s="19" t="n">
        <v>2</v>
      </c>
      <c r="B136" s="20" t="n">
        <v>100</v>
      </c>
      <c r="C136" s="20" t="s">
        <v>273</v>
      </c>
      <c r="D136" s="20" t="s">
        <v>36</v>
      </c>
      <c r="E136" s="20"/>
      <c r="F136" s="21" t="n">
        <v>1000</v>
      </c>
      <c r="G136" s="0" t="n">
        <f aca="false">IF(D136="Mono&amp;Dual",MIN(E136,F136)*2,MIN(E136,F136))</f>
        <v>1000</v>
      </c>
    </row>
    <row r="137" customFormat="false" ht="15" hidden="false" customHeight="false" outlineLevel="0" collapsed="false">
      <c r="A137" s="16" t="n">
        <v>2</v>
      </c>
      <c r="B137" s="17" t="n">
        <v>100</v>
      </c>
      <c r="C137" s="17" t="s">
        <v>274</v>
      </c>
      <c r="D137" s="17" t="s">
        <v>36</v>
      </c>
      <c r="E137" s="17"/>
      <c r="F137" s="18" t="n">
        <v>1000</v>
      </c>
      <c r="G137" s="0" t="n">
        <f aca="false">IF(D137="Mono&amp;Dual",MIN(E137,F137)*2,MIN(E137,F137))</f>
        <v>1000</v>
      </c>
    </row>
    <row r="138" customFormat="false" ht="15" hidden="false" customHeight="false" outlineLevel="0" collapsed="false">
      <c r="A138" s="19" t="n">
        <v>2</v>
      </c>
      <c r="B138" s="20" t="n">
        <v>100</v>
      </c>
      <c r="C138" s="20" t="s">
        <v>275</v>
      </c>
      <c r="D138" s="20" t="s">
        <v>36</v>
      </c>
      <c r="E138" s="20"/>
      <c r="F138" s="21" t="n">
        <v>1000</v>
      </c>
      <c r="G138" s="0" t="n">
        <f aca="false">IF(D138="Mono&amp;Dual",MIN(E138,F138)*2,MIN(E138,F138))</f>
        <v>1000</v>
      </c>
    </row>
    <row r="139" customFormat="false" ht="15" hidden="false" customHeight="false" outlineLevel="0" collapsed="false">
      <c r="A139" s="16" t="n">
        <v>2</v>
      </c>
      <c r="B139" s="17" t="n">
        <v>100</v>
      </c>
      <c r="C139" s="17" t="s">
        <v>276</v>
      </c>
      <c r="D139" s="17" t="s">
        <v>36</v>
      </c>
      <c r="E139" s="17"/>
      <c r="F139" s="18" t="n">
        <v>1000</v>
      </c>
      <c r="G139" s="0" t="n">
        <f aca="false">IF(D139="Mono&amp;Dual",MIN(E139,F139)*2,MIN(E139,F139))</f>
        <v>1000</v>
      </c>
    </row>
    <row r="140" customFormat="false" ht="15" hidden="false" customHeight="false" outlineLevel="0" collapsed="false">
      <c r="A140" s="19" t="n">
        <v>2</v>
      </c>
      <c r="B140" s="20" t="n">
        <v>100</v>
      </c>
      <c r="C140" s="20" t="s">
        <v>277</v>
      </c>
      <c r="D140" s="20" t="s">
        <v>36</v>
      </c>
      <c r="E140" s="20"/>
      <c r="F140" s="21" t="n">
        <v>1000</v>
      </c>
      <c r="G140" s="0" t="n">
        <f aca="false">IF(D140="Mono&amp;Dual",MIN(E140,F140)*2,MIN(E140,F140))</f>
        <v>1000</v>
      </c>
    </row>
    <row r="141" customFormat="false" ht="15" hidden="false" customHeight="false" outlineLevel="0" collapsed="false">
      <c r="A141" s="16" t="n">
        <v>2</v>
      </c>
      <c r="B141" s="17" t="n">
        <v>100</v>
      </c>
      <c r="C141" s="17" t="s">
        <v>278</v>
      </c>
      <c r="D141" s="17" t="s">
        <v>36</v>
      </c>
      <c r="E141" s="17"/>
      <c r="F141" s="18" t="n">
        <v>1000</v>
      </c>
      <c r="G141" s="0" t="n">
        <f aca="false">IF(D141="Mono&amp;Dual",MIN(E141,F141)*2,MIN(E141,F141))</f>
        <v>1000</v>
      </c>
    </row>
    <row r="142" customFormat="false" ht="15" hidden="false" customHeight="false" outlineLevel="0" collapsed="false">
      <c r="A142" s="19" t="n">
        <v>2</v>
      </c>
      <c r="B142" s="20" t="n">
        <v>100</v>
      </c>
      <c r="C142" s="20" t="s">
        <v>279</v>
      </c>
      <c r="D142" s="20" t="s">
        <v>36</v>
      </c>
      <c r="E142" s="20"/>
      <c r="F142" s="21" t="n">
        <v>1000</v>
      </c>
      <c r="G142" s="0" t="n">
        <f aca="false">IF(D142="Mono&amp;Dual",MIN(E142,F142)*2,MIN(E142,F142))</f>
        <v>1000</v>
      </c>
    </row>
    <row r="143" customFormat="false" ht="15" hidden="false" customHeight="false" outlineLevel="0" collapsed="false">
      <c r="A143" s="16" t="n">
        <v>2</v>
      </c>
      <c r="B143" s="17" t="n">
        <v>100</v>
      </c>
      <c r="C143" s="17" t="s">
        <v>280</v>
      </c>
      <c r="D143" s="17" t="s">
        <v>36</v>
      </c>
      <c r="E143" s="17"/>
      <c r="F143" s="18" t="n">
        <v>1000</v>
      </c>
      <c r="G143" s="0" t="n">
        <f aca="false">IF(D143="Mono&amp;Dual",MIN(E143,F143)*2,MIN(E143,F143))</f>
        <v>1000</v>
      </c>
    </row>
    <row r="144" customFormat="false" ht="15" hidden="false" customHeight="false" outlineLevel="0" collapsed="false">
      <c r="A144" s="19" t="n">
        <v>2</v>
      </c>
      <c r="B144" s="20" t="n">
        <v>100</v>
      </c>
      <c r="C144" s="20" t="s">
        <v>281</v>
      </c>
      <c r="D144" s="20" t="s">
        <v>36</v>
      </c>
      <c r="E144" s="20"/>
      <c r="F144" s="21" t="n">
        <v>1000</v>
      </c>
      <c r="G144" s="0" t="n">
        <f aca="false">IF(D144="Mono&amp;Dual",MIN(E144,F144)*2,MIN(E144,F144))</f>
        <v>1000</v>
      </c>
    </row>
    <row r="145" customFormat="false" ht="15" hidden="false" customHeight="false" outlineLevel="0" collapsed="false">
      <c r="A145" s="16" t="n">
        <v>2</v>
      </c>
      <c r="B145" s="17" t="n">
        <v>100</v>
      </c>
      <c r="C145" s="17" t="s">
        <v>282</v>
      </c>
      <c r="D145" s="17" t="s">
        <v>36</v>
      </c>
      <c r="E145" s="17"/>
      <c r="F145" s="18" t="n">
        <v>1000</v>
      </c>
      <c r="G145" s="0" t="n">
        <f aca="false">IF(D145="Mono&amp;Dual",MIN(E145,F145)*2,MIN(E145,F145))</f>
        <v>1000</v>
      </c>
    </row>
    <row r="146" customFormat="false" ht="15" hidden="false" customHeight="false" outlineLevel="0" collapsed="false">
      <c r="A146" s="19" t="n">
        <v>2</v>
      </c>
      <c r="B146" s="20" t="n">
        <v>100</v>
      </c>
      <c r="C146" s="20" t="s">
        <v>283</v>
      </c>
      <c r="D146" s="20" t="s">
        <v>36</v>
      </c>
      <c r="E146" s="20"/>
      <c r="F146" s="21" t="n">
        <v>1000</v>
      </c>
      <c r="G146" s="0" t="n">
        <f aca="false">IF(D146="Mono&amp;Dual",MIN(E146,F146)*2,MIN(E146,F146))</f>
        <v>1000</v>
      </c>
    </row>
    <row r="147" customFormat="false" ht="15" hidden="false" customHeight="false" outlineLevel="0" collapsed="false">
      <c r="A147" s="16" t="n">
        <v>2</v>
      </c>
      <c r="B147" s="17" t="n">
        <v>100</v>
      </c>
      <c r="C147" s="17" t="s">
        <v>284</v>
      </c>
      <c r="D147" s="17" t="s">
        <v>36</v>
      </c>
      <c r="E147" s="17"/>
      <c r="F147" s="18" t="n">
        <v>1000</v>
      </c>
      <c r="G147" s="0" t="n">
        <f aca="false">IF(D147="Mono&amp;Dual",MIN(E147,F147)*2,MIN(E147,F147))</f>
        <v>1000</v>
      </c>
    </row>
    <row r="148" customFormat="false" ht="15" hidden="false" customHeight="false" outlineLevel="0" collapsed="false">
      <c r="A148" s="19" t="n">
        <v>2</v>
      </c>
      <c r="B148" s="20" t="n">
        <v>100</v>
      </c>
      <c r="C148" s="20" t="s">
        <v>285</v>
      </c>
      <c r="D148" s="20" t="s">
        <v>36</v>
      </c>
      <c r="E148" s="20"/>
      <c r="F148" s="21" t="n">
        <v>1000</v>
      </c>
      <c r="G148" s="0" t="n">
        <f aca="false">IF(D148="Mono&amp;Dual",MIN(E148,F148)*2,MIN(E148,F148))</f>
        <v>1000</v>
      </c>
    </row>
    <row r="149" customFormat="false" ht="15" hidden="false" customHeight="false" outlineLevel="0" collapsed="false">
      <c r="A149" s="16" t="n">
        <v>2</v>
      </c>
      <c r="B149" s="17" t="n">
        <v>100</v>
      </c>
      <c r="C149" s="17" t="s">
        <v>286</v>
      </c>
      <c r="D149" s="17" t="s">
        <v>36</v>
      </c>
      <c r="E149" s="17"/>
      <c r="F149" s="18" t="n">
        <v>1000</v>
      </c>
      <c r="G149" s="0" t="n">
        <f aca="false">IF(D149="Mono&amp;Dual",MIN(E149,F149)*2,MIN(E149,F149))</f>
        <v>1000</v>
      </c>
    </row>
    <row r="150" customFormat="false" ht="15" hidden="false" customHeight="false" outlineLevel="0" collapsed="false">
      <c r="A150" s="19" t="n">
        <v>2</v>
      </c>
      <c r="B150" s="20" t="n">
        <v>100</v>
      </c>
      <c r="C150" s="20" t="s">
        <v>287</v>
      </c>
      <c r="D150" s="20" t="s">
        <v>36</v>
      </c>
      <c r="E150" s="20"/>
      <c r="F150" s="21" t="n">
        <v>1000</v>
      </c>
      <c r="G150" s="0" t="n">
        <f aca="false">IF(D150="Mono&amp;Dual",MIN(E150,F150)*2,MIN(E150,F150))</f>
        <v>1000</v>
      </c>
    </row>
    <row r="151" customFormat="false" ht="15" hidden="false" customHeight="false" outlineLevel="0" collapsed="false">
      <c r="A151" s="16" t="n">
        <v>2</v>
      </c>
      <c r="B151" s="17" t="n">
        <v>100</v>
      </c>
      <c r="C151" s="17" t="s">
        <v>288</v>
      </c>
      <c r="D151" s="17" t="s">
        <v>36</v>
      </c>
      <c r="E151" s="17"/>
      <c r="F151" s="18" t="n">
        <v>1000</v>
      </c>
      <c r="G151" s="0" t="n">
        <f aca="false">IF(D151="Mono&amp;Dual",MIN(E151,F151)*2,MIN(E151,F151))</f>
        <v>1000</v>
      </c>
    </row>
    <row r="152" customFormat="false" ht="15" hidden="false" customHeight="false" outlineLevel="0" collapsed="false">
      <c r="A152" s="19" t="n">
        <v>2</v>
      </c>
      <c r="B152" s="20" t="n">
        <v>100</v>
      </c>
      <c r="C152" s="20" t="s">
        <v>289</v>
      </c>
      <c r="D152" s="20" t="s">
        <v>36</v>
      </c>
      <c r="E152" s="20"/>
      <c r="F152" s="21" t="n">
        <v>1000</v>
      </c>
      <c r="G152" s="0" t="n">
        <f aca="false">IF(D152="Mono&amp;Dual",MIN(E152,F152)*2,MIN(E152,F152))</f>
        <v>1000</v>
      </c>
    </row>
    <row r="153" customFormat="false" ht="15" hidden="false" customHeight="false" outlineLevel="0" collapsed="false">
      <c r="A153" s="16" t="n">
        <v>2</v>
      </c>
      <c r="B153" s="17" t="n">
        <v>100</v>
      </c>
      <c r="C153" s="17" t="s">
        <v>290</v>
      </c>
      <c r="D153" s="17" t="s">
        <v>36</v>
      </c>
      <c r="E153" s="17"/>
      <c r="F153" s="18" t="n">
        <v>1000</v>
      </c>
      <c r="G153" s="0" t="n">
        <f aca="false">IF(D153="Mono&amp;Dual",MIN(E153,F153)*2,MIN(E153,F153))</f>
        <v>1000</v>
      </c>
    </row>
    <row r="154" customFormat="false" ht="15" hidden="false" customHeight="false" outlineLevel="0" collapsed="false">
      <c r="A154" s="19" t="n">
        <v>2</v>
      </c>
      <c r="B154" s="20" t="n">
        <v>100</v>
      </c>
      <c r="C154" s="20" t="s">
        <v>291</v>
      </c>
      <c r="D154" s="20" t="s">
        <v>36</v>
      </c>
      <c r="E154" s="20"/>
      <c r="F154" s="21" t="n">
        <v>1000</v>
      </c>
      <c r="G154" s="0" t="n">
        <f aca="false">IF(D154="Mono&amp;Dual",MIN(E154,F154)*2,MIN(E154,F154))</f>
        <v>1000</v>
      </c>
    </row>
    <row r="155" customFormat="false" ht="15" hidden="false" customHeight="false" outlineLevel="0" collapsed="false">
      <c r="A155" s="16" t="n">
        <v>2</v>
      </c>
      <c r="B155" s="17" t="n">
        <v>100</v>
      </c>
      <c r="C155" s="17" t="s">
        <v>292</v>
      </c>
      <c r="D155" s="17" t="s">
        <v>36</v>
      </c>
      <c r="E155" s="17"/>
      <c r="F155" s="18" t="n">
        <v>1000</v>
      </c>
      <c r="G155" s="0" t="n">
        <f aca="false">IF(D155="Mono&amp;Dual",MIN(E155,F155)*2,MIN(E155,F155))</f>
        <v>1000</v>
      </c>
    </row>
    <row r="156" customFormat="false" ht="15" hidden="false" customHeight="false" outlineLevel="0" collapsed="false">
      <c r="A156" s="19" t="n">
        <v>2</v>
      </c>
      <c r="B156" s="20" t="n">
        <v>100</v>
      </c>
      <c r="C156" s="20" t="s">
        <v>293</v>
      </c>
      <c r="D156" s="20" t="s">
        <v>36</v>
      </c>
      <c r="E156" s="20"/>
      <c r="F156" s="21" t="n">
        <v>1000</v>
      </c>
      <c r="G156" s="0" t="n">
        <f aca="false">IF(D156="Mono&amp;Dual",MIN(E156,F156)*2,MIN(E156,F156))</f>
        <v>1000</v>
      </c>
    </row>
    <row r="157" customFormat="false" ht="15" hidden="false" customHeight="false" outlineLevel="0" collapsed="false">
      <c r="A157" s="16" t="n">
        <v>2</v>
      </c>
      <c r="B157" s="17" t="n">
        <v>100</v>
      </c>
      <c r="C157" s="17" t="s">
        <v>294</v>
      </c>
      <c r="D157" s="17" t="s">
        <v>36</v>
      </c>
      <c r="E157" s="17"/>
      <c r="F157" s="18" t="n">
        <v>1000</v>
      </c>
      <c r="G157" s="0" t="n">
        <f aca="false">IF(D157="Mono&amp;Dual",MIN(E157,F157)*2,MIN(E157,F157))</f>
        <v>1000</v>
      </c>
    </row>
    <row r="158" customFormat="false" ht="15" hidden="false" customHeight="false" outlineLevel="0" collapsed="false">
      <c r="G158" s="0" t="n">
        <f aca="false">IF(D158="Mono&amp;Dual",MIN(E158,F158)*2,MIN(E158,F158))</f>
        <v>0</v>
      </c>
    </row>
    <row r="159" customFormat="false" ht="15" hidden="false" customHeight="false" outlineLevel="0" collapsed="false">
      <c r="G159" s="0" t="n">
        <f aca="false">IF(D159="Mono&amp;Dual",MIN(E159,F159)*2,MIN(E159,F159))</f>
        <v>0</v>
      </c>
    </row>
    <row r="160" customFormat="false" ht="15" hidden="false" customHeight="false" outlineLevel="0" collapsed="false">
      <c r="G160" s="0" t="n">
        <f aca="false">IF(D160="Mono&amp;Dual",MIN(E160,F160)*2,MIN(E160,F160))</f>
        <v>0</v>
      </c>
    </row>
    <row r="161" customFormat="false" ht="15" hidden="false" customHeight="false" outlineLevel="0" collapsed="false">
      <c r="G161" s="0" t="n">
        <f aca="false">IF(D161="Mono&amp;Dual",MIN(E161,F161)*2,MIN(E161,F161))</f>
        <v>0</v>
      </c>
    </row>
    <row r="162" customFormat="false" ht="15" hidden="false" customHeight="false" outlineLevel="0" collapsed="false">
      <c r="G162" s="0" t="n">
        <f aca="false">IF(D162="Mono&amp;Dual",MIN(E162,F162)*2,MIN(E162,F162))</f>
        <v>0</v>
      </c>
    </row>
    <row r="163" customFormat="false" ht="15" hidden="false" customHeight="false" outlineLevel="0" collapsed="false">
      <c r="G163" s="0" t="n">
        <f aca="false">IF(D163="Mono&amp;Dual",MIN(E163,F163)*2,MIN(E163,F163))</f>
        <v>0</v>
      </c>
    </row>
    <row r="164" customFormat="false" ht="15" hidden="false" customHeight="false" outlineLevel="0" collapsed="false">
      <c r="G164" s="0" t="n">
        <f aca="false">IF(D164="Mono&amp;Dual",MIN(E164,F164)*2,MIN(E164,F164))</f>
        <v>0</v>
      </c>
    </row>
    <row r="165" customFormat="false" ht="15" hidden="false" customHeight="false" outlineLevel="0" collapsed="false">
      <c r="G165" s="0" t="n">
        <f aca="false">IF(D165="Mono&amp;Dual",MIN(E165,F165)*2,MIN(E165,F165))</f>
        <v>0</v>
      </c>
    </row>
    <row r="166" customFormat="false" ht="15" hidden="false" customHeight="false" outlineLevel="0" collapsed="false">
      <c r="G166" s="0" t="n">
        <f aca="false">IF(D166="Mono&amp;Dual",MIN(E166,F166)*2,MIN(E166,F166))</f>
        <v>0</v>
      </c>
    </row>
    <row r="167" customFormat="false" ht="15" hidden="false" customHeight="false" outlineLevel="0" collapsed="false">
      <c r="G167" s="0" t="n">
        <f aca="false">IF(D167="Mono&amp;Dual",MIN(E167,F167)*2,MIN(E167,F167))</f>
        <v>0</v>
      </c>
    </row>
    <row r="168" customFormat="false" ht="15" hidden="false" customHeight="false" outlineLevel="0" collapsed="false">
      <c r="G168" s="0" t="n">
        <f aca="false">IF(D168="Mono&amp;Dual",MIN(E168,F168)*2,MIN(E168,F168))</f>
        <v>0</v>
      </c>
    </row>
    <row r="169" customFormat="false" ht="15" hidden="false" customHeight="false" outlineLevel="0" collapsed="false">
      <c r="G169" s="0" t="n">
        <f aca="false">IF(D169="Mono&amp;Dual",MIN(E169,F169)*2,MIN(E169,F169))</f>
        <v>0</v>
      </c>
    </row>
    <row r="170" customFormat="false" ht="15" hidden="false" customHeight="false" outlineLevel="0" collapsed="false">
      <c r="G170" s="0" t="n">
        <f aca="false">IF(D170="Mono&amp;Dual",MIN(E170,F170)*2,MIN(E170,F170))</f>
        <v>0</v>
      </c>
    </row>
    <row r="171" customFormat="false" ht="15" hidden="false" customHeight="false" outlineLevel="0" collapsed="false">
      <c r="G171" s="0" t="n">
        <f aca="false">IF(D171="Mono&amp;Dual",MIN(E171,F171)*2,MIN(E171,F171))</f>
        <v>0</v>
      </c>
    </row>
    <row r="172" customFormat="false" ht="15" hidden="false" customHeight="false" outlineLevel="0" collapsed="false">
      <c r="G172" s="0" t="n">
        <f aca="false">IF(D172="Mono&amp;Dual",MIN(E172,F172)*2,MIN(E172,F172))</f>
        <v>0</v>
      </c>
    </row>
    <row r="173" customFormat="false" ht="15" hidden="false" customHeight="false" outlineLevel="0" collapsed="false">
      <c r="G173" s="0" t="n">
        <f aca="false">IF(D173="Mono&amp;Dual",MIN(E173,F173)*2,MIN(E173,F173))</f>
        <v>0</v>
      </c>
    </row>
    <row r="174" customFormat="false" ht="15" hidden="false" customHeight="false" outlineLevel="0" collapsed="false">
      <c r="G174" s="0" t="n">
        <f aca="false">IF(D174="Mono&amp;Dual",MIN(E174,F174)*2,MIN(E174,F174))</f>
        <v>0</v>
      </c>
    </row>
    <row r="175" customFormat="false" ht="15" hidden="false" customHeight="false" outlineLevel="0" collapsed="false">
      <c r="G175" s="0" t="n">
        <f aca="false">IF(D175="Mono&amp;Dual",MIN(E175,F175)*2,MIN(E175,F175))</f>
        <v>0</v>
      </c>
    </row>
    <row r="176" customFormat="false" ht="15" hidden="false" customHeight="false" outlineLevel="0" collapsed="false">
      <c r="G176" s="0" t="n">
        <f aca="false">IF(D176="Mono&amp;Dual",MIN(E176,F176)*2,MIN(E176,F176))</f>
        <v>0</v>
      </c>
    </row>
    <row r="177" customFormat="false" ht="15" hidden="false" customHeight="false" outlineLevel="0" collapsed="false">
      <c r="G177" s="0" t="n">
        <f aca="false">IF(D177="Mono&amp;Dual",MIN(E177,F177)*2,MIN(E177,F177))</f>
        <v>0</v>
      </c>
    </row>
    <row r="178" customFormat="false" ht="15" hidden="false" customHeight="false" outlineLevel="0" collapsed="false">
      <c r="G178" s="0" t="n">
        <f aca="false">IF(D178="Mono&amp;Dual",MIN(E178,F178)*2,MIN(E178,F178))</f>
        <v>0</v>
      </c>
    </row>
    <row r="179" customFormat="false" ht="15" hidden="false" customHeight="false" outlineLevel="0" collapsed="false">
      <c r="G179" s="0" t="n">
        <f aca="false">IF(D179="Mono&amp;Dual",MIN(E179,F179)*2,MIN(E179,F179))</f>
        <v>0</v>
      </c>
    </row>
    <row r="180" customFormat="false" ht="15" hidden="false" customHeight="false" outlineLevel="0" collapsed="false">
      <c r="G180" s="0" t="n">
        <f aca="false">IF(D180="Mono&amp;Dual",MIN(E180,F180)*2,MIN(E180,F180))</f>
        <v>0</v>
      </c>
    </row>
    <row r="181" customFormat="false" ht="15" hidden="false" customHeight="false" outlineLevel="0" collapsed="false">
      <c r="G181" s="0" t="n">
        <f aca="false">IF(D181="Mono&amp;Dual",MIN(E181,F181)*2,MIN(E181,F181))</f>
        <v>0</v>
      </c>
    </row>
    <row r="182" customFormat="false" ht="15" hidden="false" customHeight="false" outlineLevel="0" collapsed="false">
      <c r="G182" s="0" t="n">
        <f aca="false">IF(D182="Mono&amp;Dual",MIN(E182,F182)*2,MIN(E182,F182))</f>
        <v>0</v>
      </c>
    </row>
    <row r="183" customFormat="false" ht="15" hidden="false" customHeight="false" outlineLevel="0" collapsed="false">
      <c r="G183" s="0" t="n">
        <f aca="false">IF(D183="Mono&amp;Dual",MIN(E183,F183)*2,MIN(E183,F183))</f>
        <v>0</v>
      </c>
    </row>
    <row r="184" customFormat="false" ht="15" hidden="false" customHeight="false" outlineLevel="0" collapsed="false">
      <c r="G184" s="0" t="n">
        <f aca="false">IF(D184="Mono&amp;Dual",MIN(E184,F184)*2,MIN(E184,F184))</f>
        <v>0</v>
      </c>
    </row>
    <row r="185" customFormat="false" ht="15" hidden="false" customHeight="false" outlineLevel="0" collapsed="false">
      <c r="G185" s="0" t="n">
        <f aca="false">IF(D185="Mono&amp;Dual",MIN(E185,F185)*2,MIN(E185,F185))</f>
        <v>0</v>
      </c>
    </row>
    <row r="186" customFormat="false" ht="15" hidden="false" customHeight="false" outlineLevel="0" collapsed="false">
      <c r="G186" s="0" t="n">
        <f aca="false">IF(D186="Mono&amp;Dual",MIN(E186,F186)*2,MIN(E186,F186))</f>
        <v>0</v>
      </c>
    </row>
    <row r="187" customFormat="false" ht="15" hidden="false" customHeight="false" outlineLevel="0" collapsed="false">
      <c r="G187" s="0" t="n">
        <f aca="false">IF(D187="Mono&amp;Dual",MIN(E187,F187)*2,MIN(E187,F187))</f>
        <v>0</v>
      </c>
    </row>
    <row r="188" customFormat="false" ht="15" hidden="false" customHeight="false" outlineLevel="0" collapsed="false">
      <c r="G188" s="0" t="n">
        <f aca="false">IF(D188="Mono&amp;Dual",MIN(E188,F188)*2,MIN(E188,F188))</f>
        <v>0</v>
      </c>
    </row>
    <row r="189" customFormat="false" ht="15" hidden="false" customHeight="false" outlineLevel="0" collapsed="false">
      <c r="G189" s="0" t="n">
        <f aca="false">IF(D189="Mono&amp;Dual",MIN(E189,F189)*2,MIN(E189,F189))</f>
        <v>0</v>
      </c>
    </row>
    <row r="190" customFormat="false" ht="15" hidden="false" customHeight="false" outlineLevel="0" collapsed="false">
      <c r="G190" s="0" t="n">
        <f aca="false">IF(D190="Mono&amp;Dual",MIN(E190,F190)*2,MIN(E190,F190))</f>
        <v>0</v>
      </c>
    </row>
    <row r="191" customFormat="false" ht="15" hidden="false" customHeight="false" outlineLevel="0" collapsed="false">
      <c r="G191" s="0" t="n">
        <f aca="false">IF(D191="Mono&amp;Dual",MIN(E191,F191)*2,MIN(E191,F191))</f>
        <v>0</v>
      </c>
    </row>
    <row r="192" customFormat="false" ht="15" hidden="false" customHeight="false" outlineLevel="0" collapsed="false">
      <c r="G192" s="0" t="n">
        <f aca="false">IF(D192="Mono&amp;Dual",MIN(E192,F192)*2,MIN(E192,F192))</f>
        <v>0</v>
      </c>
    </row>
    <row r="193" customFormat="false" ht="15" hidden="false" customHeight="false" outlineLevel="0" collapsed="false">
      <c r="G193" s="0" t="n">
        <f aca="false">IF(D193="Mono&amp;Dual",MIN(E193,F193)*2,MIN(E193,F193))</f>
        <v>0</v>
      </c>
    </row>
    <row r="194" customFormat="false" ht="15" hidden="false" customHeight="false" outlineLevel="0" collapsed="false">
      <c r="G194" s="0" t="n">
        <f aca="false">IF(D194="Mono&amp;Dual",MIN(E194,F194)*2,MIN(E194,F194))</f>
        <v>0</v>
      </c>
    </row>
    <row r="195" customFormat="false" ht="15" hidden="false" customHeight="false" outlineLevel="0" collapsed="false">
      <c r="G195" s="0" t="n">
        <f aca="false">IF(D195="Mono&amp;Dual",MIN(E195,F195)*2,MIN(E195,F195))</f>
        <v>0</v>
      </c>
    </row>
    <row r="196" customFormat="false" ht="15" hidden="false" customHeight="false" outlineLevel="0" collapsed="false">
      <c r="G196" s="0" t="n">
        <f aca="false">IF(D196="Mono&amp;Dual",MIN(E196,F196)*2,MIN(E196,F196))</f>
        <v>0</v>
      </c>
    </row>
    <row r="197" customFormat="false" ht="15" hidden="false" customHeight="false" outlineLevel="0" collapsed="false">
      <c r="G197" s="0" t="n">
        <f aca="false">IF(D197="Mono&amp;Dual",MIN(E197,F197)*2,MIN(E197,F197))</f>
        <v>0</v>
      </c>
    </row>
    <row r="198" customFormat="false" ht="15" hidden="false" customHeight="false" outlineLevel="0" collapsed="false">
      <c r="G198" s="0" t="n">
        <f aca="false">IF(D198="Mono&amp;Dual",MIN(E198,F198)*2,MIN(E198,F198))</f>
        <v>0</v>
      </c>
    </row>
    <row r="199" customFormat="false" ht="15" hidden="false" customHeight="false" outlineLevel="0" collapsed="false">
      <c r="G199" s="0" t="n">
        <f aca="false">IF(D199="Mono&amp;Dual",MIN(E199,F199)*2,MIN(E199,F199))</f>
        <v>0</v>
      </c>
    </row>
    <row r="200" customFormat="false" ht="15" hidden="false" customHeight="false" outlineLevel="0" collapsed="false">
      <c r="G200" s="0" t="n">
        <f aca="false">IF(D200="Mono&amp;Dual",MIN(E200,F200)*2,MIN(E200,F200))</f>
        <v>0</v>
      </c>
    </row>
    <row r="201" customFormat="false" ht="15" hidden="false" customHeight="false" outlineLevel="0" collapsed="false">
      <c r="G201" s="0" t="n">
        <f aca="false">IF(D201="Mono&amp;Dual",MIN(E201,F201)*2,MIN(E201,F201))</f>
        <v>0</v>
      </c>
    </row>
    <row r="202" customFormat="false" ht="15" hidden="false" customHeight="false" outlineLevel="0" collapsed="false">
      <c r="G202" s="0" t="n">
        <f aca="false">IF(D202="Mono&amp;Dual",MIN(E202,F202)*2,MIN(E202,F202))</f>
        <v>0</v>
      </c>
    </row>
    <row r="203" customFormat="false" ht="15" hidden="false" customHeight="false" outlineLevel="0" collapsed="false">
      <c r="G203" s="0" t="n">
        <f aca="false">IF(D203="Mono&amp;Dual",MIN(E203,F203)*2,MIN(E203,F203))</f>
        <v>0</v>
      </c>
    </row>
    <row r="204" customFormat="false" ht="15" hidden="false" customHeight="false" outlineLevel="0" collapsed="false">
      <c r="G204" s="0" t="n">
        <f aca="false">IF(D204="Mono&amp;Dual",MIN(E204,F204)*2,MIN(E204,F204))</f>
        <v>0</v>
      </c>
    </row>
    <row r="205" customFormat="false" ht="15" hidden="false" customHeight="false" outlineLevel="0" collapsed="false">
      <c r="G205" s="0" t="n">
        <f aca="false">IF(D205="Mono&amp;Dual",MIN(E205,F205)*2,MIN(E205,F205))</f>
        <v>0</v>
      </c>
    </row>
    <row r="206" customFormat="false" ht="15" hidden="false" customHeight="false" outlineLevel="0" collapsed="false">
      <c r="G206" s="0" t="n">
        <f aca="false">IF(D206="Mono&amp;Dual",MIN(E206,F206)*2,MIN(E206,F206))</f>
        <v>0</v>
      </c>
    </row>
    <row r="207" customFormat="false" ht="15" hidden="false" customHeight="false" outlineLevel="0" collapsed="false">
      <c r="G207" s="0" t="n">
        <f aca="false">IF(D207="Mono&amp;Dual",MIN(E207,F207)*2,MIN(E207,F207))</f>
        <v>0</v>
      </c>
    </row>
    <row r="208" customFormat="false" ht="15" hidden="false" customHeight="false" outlineLevel="0" collapsed="false">
      <c r="G208" s="0" t="n">
        <f aca="false">IF(D208="Mono&amp;Dual",MIN(E208,F208)*2,MIN(E208,F208))</f>
        <v>0</v>
      </c>
    </row>
    <row r="209" customFormat="false" ht="15" hidden="false" customHeight="false" outlineLevel="0" collapsed="false">
      <c r="G209" s="0" t="n">
        <f aca="false">IF(D209="Mono&amp;Dual",MIN(E209,F209)*2,MIN(E209,F209))</f>
        <v>0</v>
      </c>
    </row>
    <row r="210" customFormat="false" ht="15" hidden="false" customHeight="false" outlineLevel="0" collapsed="false">
      <c r="G210" s="0" t="n">
        <f aca="false">IF(D210="Mono&amp;Dual",MIN(E210,F210)*2,MIN(E210,F210))</f>
        <v>0</v>
      </c>
    </row>
    <row r="211" customFormat="false" ht="15" hidden="false" customHeight="false" outlineLevel="0" collapsed="false">
      <c r="G211" s="0" t="n">
        <f aca="false">IF(D211="Mono&amp;Dual",MIN(E211,F211)*2,MIN(E211,F211))</f>
        <v>0</v>
      </c>
    </row>
    <row r="212" customFormat="false" ht="15" hidden="false" customHeight="false" outlineLevel="0" collapsed="false">
      <c r="G212" s="0" t="n">
        <f aca="false">IF(D212="Mono&amp;Dual",MIN(E212,F212)*2,MIN(E212,F212))</f>
        <v>0</v>
      </c>
    </row>
    <row r="213" customFormat="false" ht="15" hidden="false" customHeight="false" outlineLevel="0" collapsed="false">
      <c r="G213" s="0" t="n">
        <f aca="false">IF(D213="Mono&amp;Dual",MIN(E213,F213)*2,MIN(E213,F213))</f>
        <v>0</v>
      </c>
    </row>
    <row r="214" customFormat="false" ht="15" hidden="false" customHeight="false" outlineLevel="0" collapsed="false">
      <c r="G214" s="0" t="n">
        <f aca="false">IF(D214="Mono&amp;Dual",MIN(E214,F214)*2,MIN(E214,F214))</f>
        <v>0</v>
      </c>
    </row>
    <row r="215" customFormat="false" ht="15" hidden="false" customHeight="false" outlineLevel="0" collapsed="false">
      <c r="G215" s="0" t="n">
        <f aca="false">IF(D215="Mono&amp;Dual",MIN(E215,F215)*2,MIN(E215,F215))</f>
        <v>0</v>
      </c>
    </row>
    <row r="216" customFormat="false" ht="15" hidden="false" customHeight="false" outlineLevel="0" collapsed="false">
      <c r="G216" s="0" t="n">
        <f aca="false">IF(D216="Mono&amp;Dual",MIN(E216,F216)*2,MIN(E216,F216))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J3" activeCellId="0" sqref="J3"/>
    </sheetView>
  </sheetViews>
  <sheetFormatPr defaultColWidth="8.6171875" defaultRowHeight="15" customHeight="false" zeroHeight="false" outlineLevelRow="0" outlineLevelCol="0"/>
  <cols>
    <col collapsed="false" customWidth="true" hidden="false" outlineLevel="0" max="4" min="4" style="0" width="11.71"/>
    <col collapsed="false" customWidth="true" hidden="false" outlineLevel="0" max="7" min="7" style="0" width="16.29"/>
    <col collapsed="false" customWidth="true" hidden="false" outlineLevel="0" max="8" min="8" style="0" width="9"/>
    <col collapsed="false" customWidth="true" hidden="false" outlineLevel="0" max="10" min="10" style="0" width="10.71"/>
    <col collapsed="false" customWidth="true" hidden="false" outlineLevel="0" max="11" min="11" style="0" width="12.71"/>
  </cols>
  <sheetData>
    <row r="1" customFormat="false" ht="15" hidden="false" customHeight="false" outlineLevel="0" collapsed="false">
      <c r="A1" s="13" t="s">
        <v>1</v>
      </c>
      <c r="B1" s="14" t="s">
        <v>25</v>
      </c>
      <c r="C1" s="14" t="s">
        <v>26</v>
      </c>
      <c r="D1" s="14" t="s">
        <v>27</v>
      </c>
      <c r="E1" s="14" t="s">
        <v>28</v>
      </c>
      <c r="F1" s="15" t="s">
        <v>29</v>
      </c>
      <c r="G1" s="0" t="s">
        <v>30</v>
      </c>
    </row>
    <row r="2" customFormat="false" ht="15" hidden="false" customHeight="false" outlineLevel="0" collapsed="false">
      <c r="A2" s="19" t="n">
        <v>3</v>
      </c>
      <c r="B2" s="20" t="n">
        <v>5</v>
      </c>
      <c r="C2" s="20" t="s">
        <v>215</v>
      </c>
      <c r="D2" s="20" t="s">
        <v>211</v>
      </c>
      <c r="E2" s="20" t="n">
        <v>20000</v>
      </c>
      <c r="F2" s="21" t="n">
        <v>18000</v>
      </c>
      <c r="G2" s="0" t="n">
        <f aca="false">IF(D2="Mono&amp;Dual",MIN(E2,F2)*2,MIN(E2,F2))</f>
        <v>36000</v>
      </c>
      <c r="J2" s="1" t="s">
        <v>0</v>
      </c>
      <c r="K2" s="1" t="s">
        <v>33</v>
      </c>
    </row>
    <row r="3" customFormat="false" ht="15" hidden="false" customHeight="false" outlineLevel="0" collapsed="false">
      <c r="A3" s="16" t="n">
        <v>3</v>
      </c>
      <c r="B3" s="17" t="n">
        <v>5</v>
      </c>
      <c r="C3" s="17" t="s">
        <v>216</v>
      </c>
      <c r="D3" s="17" t="s">
        <v>211</v>
      </c>
      <c r="E3" s="17" t="n">
        <v>20000</v>
      </c>
      <c r="F3" s="18" t="n">
        <v>18000</v>
      </c>
      <c r="G3" s="0" t="n">
        <f aca="false">IF(D3="Mono&amp;Dual",MIN(E3,F3)*2,MIN(E3,F3))</f>
        <v>36000</v>
      </c>
      <c r="J3" s="1" t="n">
        <v>5</v>
      </c>
      <c r="K3" s="1" t="n">
        <f aca="false">SUMIFS(G:G,B:B,J3)/2</f>
        <v>41000</v>
      </c>
      <c r="L3" s="5"/>
      <c r="M3" s="5"/>
    </row>
    <row r="4" customFormat="false" ht="15" hidden="false" customHeight="false" outlineLevel="0" collapsed="false">
      <c r="A4" s="19" t="n">
        <v>3</v>
      </c>
      <c r="B4" s="20" t="n">
        <v>5</v>
      </c>
      <c r="C4" s="20" t="s">
        <v>223</v>
      </c>
      <c r="D4" s="20" t="s">
        <v>36</v>
      </c>
      <c r="E4" s="20"/>
      <c r="F4" s="21" t="n">
        <v>10000</v>
      </c>
      <c r="G4" s="0" t="n">
        <f aca="false">IF(D4="Mono&amp;Dual",MIN(E4,F4)*2,MIN(E4,F4))</f>
        <v>10000</v>
      </c>
      <c r="J4" s="1" t="n">
        <v>10</v>
      </c>
      <c r="K4" s="1" t="n">
        <f aca="false">SUMIFS(G:G,B:B,J4)/2</f>
        <v>31000</v>
      </c>
      <c r="L4" s="5"/>
      <c r="M4" s="5"/>
    </row>
    <row r="5" customFormat="false" ht="15" hidden="false" customHeight="false" outlineLevel="0" collapsed="false">
      <c r="A5" s="16" t="n">
        <v>3</v>
      </c>
      <c r="B5" s="17" t="n">
        <v>10</v>
      </c>
      <c r="C5" s="17" t="s">
        <v>223</v>
      </c>
      <c r="D5" s="17" t="s">
        <v>211</v>
      </c>
      <c r="E5" s="17" t="n">
        <v>6000</v>
      </c>
      <c r="F5" s="18" t="n">
        <v>12000</v>
      </c>
      <c r="G5" s="0" t="n">
        <f aca="false">IF(D5="Mono&amp;Dual",MIN(E5,F5)*2,MIN(E5,F5))</f>
        <v>12000</v>
      </c>
      <c r="J5" s="1" t="n">
        <v>20</v>
      </c>
      <c r="K5" s="1" t="n">
        <f aca="false">SUMIFS(G:G,B:B,J5)/2</f>
        <v>102000</v>
      </c>
      <c r="L5" s="5"/>
      <c r="M5" s="5"/>
    </row>
    <row r="6" customFormat="false" ht="15" hidden="false" customHeight="false" outlineLevel="0" collapsed="false">
      <c r="A6" s="19" t="n">
        <v>3</v>
      </c>
      <c r="B6" s="20" t="n">
        <v>10</v>
      </c>
      <c r="C6" s="20" t="s">
        <v>224</v>
      </c>
      <c r="D6" s="20" t="s">
        <v>211</v>
      </c>
      <c r="E6" s="20" t="n">
        <v>8000</v>
      </c>
      <c r="F6" s="21" t="n">
        <v>16000</v>
      </c>
      <c r="G6" s="0" t="n">
        <f aca="false">IF(D6="Mono&amp;Dual",MIN(E6,F6)*2,MIN(E6,F6))</f>
        <v>16000</v>
      </c>
      <c r="J6" s="1" t="n">
        <v>30</v>
      </c>
      <c r="K6" s="1" t="n">
        <f aca="false">SUMIFS(G:G,B:B,J6)/2</f>
        <v>216000</v>
      </c>
      <c r="L6" s="5"/>
      <c r="M6" s="5"/>
    </row>
    <row r="7" customFormat="false" ht="15" hidden="false" customHeight="false" outlineLevel="0" collapsed="false">
      <c r="A7" s="16" t="n">
        <v>3</v>
      </c>
      <c r="B7" s="17" t="n">
        <v>10</v>
      </c>
      <c r="C7" s="17" t="s">
        <v>215</v>
      </c>
      <c r="D7" s="17" t="s">
        <v>211</v>
      </c>
      <c r="E7" s="17" t="n">
        <v>2000</v>
      </c>
      <c r="F7" s="18" t="n">
        <v>4000</v>
      </c>
      <c r="G7" s="0" t="n">
        <f aca="false">IF(D7="Mono&amp;Dual",MIN(E7,F7)*2,MIN(E7,F7))</f>
        <v>4000</v>
      </c>
      <c r="J7" s="1" t="n">
        <v>50</v>
      </c>
      <c r="K7" s="1" t="n">
        <f aca="false">SUMIFS(G:G,B:B,J7)/2</f>
        <v>619000</v>
      </c>
      <c r="L7" s="5"/>
      <c r="M7" s="5"/>
    </row>
    <row r="8" customFormat="false" ht="15" hidden="false" customHeight="false" outlineLevel="0" collapsed="false">
      <c r="A8" s="19" t="n">
        <v>3</v>
      </c>
      <c r="B8" s="20" t="n">
        <v>10</v>
      </c>
      <c r="C8" s="20" t="s">
        <v>216</v>
      </c>
      <c r="D8" s="20" t="s">
        <v>211</v>
      </c>
      <c r="E8" s="20" t="n">
        <v>4000</v>
      </c>
      <c r="F8" s="21" t="n">
        <v>8000</v>
      </c>
      <c r="G8" s="0" t="n">
        <f aca="false">IF(D8="Mono&amp;Dual",MIN(E8,F8)*2,MIN(E8,F8))</f>
        <v>8000</v>
      </c>
      <c r="J8" s="1" t="n">
        <v>100</v>
      </c>
      <c r="K8" s="1" t="n">
        <f aca="false">SUMIFS(G:G,B:B,J8)/2</f>
        <v>2012000</v>
      </c>
      <c r="L8" s="5"/>
      <c r="M8" s="5"/>
    </row>
    <row r="9" customFormat="false" ht="15" hidden="false" customHeight="false" outlineLevel="0" collapsed="false">
      <c r="A9" s="16" t="n">
        <v>3</v>
      </c>
      <c r="B9" s="17" t="n">
        <v>10</v>
      </c>
      <c r="C9" s="17" t="s">
        <v>217</v>
      </c>
      <c r="D9" s="17" t="s">
        <v>36</v>
      </c>
      <c r="E9" s="17"/>
      <c r="F9" s="18" t="n">
        <v>2000</v>
      </c>
      <c r="G9" s="0" t="n">
        <f aca="false">IF(D9="Mono&amp;Dual",MIN(E9,F9)*2,MIN(E9,F9))</f>
        <v>2000</v>
      </c>
      <c r="J9" s="5"/>
      <c r="K9" s="5"/>
      <c r="L9" s="5"/>
      <c r="M9" s="5"/>
    </row>
    <row r="10" customFormat="false" ht="15" hidden="false" customHeight="false" outlineLevel="0" collapsed="false">
      <c r="A10" s="19" t="n">
        <v>3</v>
      </c>
      <c r="B10" s="20" t="n">
        <v>10</v>
      </c>
      <c r="C10" s="20" t="s">
        <v>218</v>
      </c>
      <c r="D10" s="20" t="s">
        <v>36</v>
      </c>
      <c r="E10" s="20"/>
      <c r="F10" s="21" t="n">
        <v>20000</v>
      </c>
      <c r="G10" s="0" t="n">
        <f aca="false">IF(D10="Mono&amp;Dual",MIN(E10,F10)*2,MIN(E10,F10))</f>
        <v>20000</v>
      </c>
    </row>
    <row r="11" customFormat="false" ht="15" hidden="false" customHeight="false" outlineLevel="0" collapsed="false">
      <c r="A11" s="16" t="n">
        <v>3</v>
      </c>
      <c r="B11" s="17" t="n">
        <v>20</v>
      </c>
      <c r="C11" s="17" t="s">
        <v>231</v>
      </c>
      <c r="D11" s="17" t="s">
        <v>211</v>
      </c>
      <c r="E11" s="17" t="n">
        <v>6000</v>
      </c>
      <c r="F11" s="18" t="n">
        <v>10000</v>
      </c>
      <c r="G11" s="0" t="n">
        <f aca="false">IF(D11="Mono&amp;Dual",MIN(E11,F11)*2,MIN(E11,F11))</f>
        <v>12000</v>
      </c>
    </row>
    <row r="12" customFormat="false" ht="15" hidden="false" customHeight="false" outlineLevel="0" collapsed="false">
      <c r="A12" s="19" t="n">
        <v>3</v>
      </c>
      <c r="B12" s="20" t="n">
        <v>20</v>
      </c>
      <c r="C12" s="20" t="s">
        <v>232</v>
      </c>
      <c r="D12" s="20" t="s">
        <v>211</v>
      </c>
      <c r="E12" s="20" t="n">
        <v>8000</v>
      </c>
      <c r="F12" s="21" t="n">
        <v>12000</v>
      </c>
      <c r="G12" s="0" t="n">
        <f aca="false">IF(D12="Mono&amp;Dual",MIN(E12,F12)*2,MIN(E12,F12))</f>
        <v>16000</v>
      </c>
    </row>
    <row r="13" customFormat="false" ht="15" hidden="false" customHeight="false" outlineLevel="0" collapsed="false">
      <c r="A13" s="16" t="n">
        <v>3</v>
      </c>
      <c r="B13" s="17" t="n">
        <v>20</v>
      </c>
      <c r="C13" s="17" t="s">
        <v>233</v>
      </c>
      <c r="D13" s="17" t="s">
        <v>211</v>
      </c>
      <c r="E13" s="17" t="n">
        <v>10000</v>
      </c>
      <c r="F13" s="18" t="n">
        <v>14000</v>
      </c>
      <c r="G13" s="0" t="n">
        <f aca="false">IF(D13="Mono&amp;Dual",MIN(E13,F13)*2,MIN(E13,F13))</f>
        <v>20000</v>
      </c>
    </row>
    <row r="14" customFormat="false" ht="15" hidden="false" customHeight="false" outlineLevel="0" collapsed="false">
      <c r="A14" s="19" t="n">
        <v>3</v>
      </c>
      <c r="B14" s="20" t="n">
        <v>20</v>
      </c>
      <c r="C14" s="20" t="s">
        <v>234</v>
      </c>
      <c r="D14" s="20" t="s">
        <v>211</v>
      </c>
      <c r="E14" s="20" t="n">
        <v>12000</v>
      </c>
      <c r="F14" s="21" t="n">
        <v>16000</v>
      </c>
      <c r="G14" s="0" t="n">
        <f aca="false">IF(D14="Mono&amp;Dual",MIN(E14,F14)*2,MIN(E14,F14))</f>
        <v>24000</v>
      </c>
    </row>
    <row r="15" customFormat="false" ht="15" hidden="false" customHeight="false" outlineLevel="0" collapsed="false">
      <c r="A15" s="16" t="n">
        <v>3</v>
      </c>
      <c r="B15" s="17" t="n">
        <v>20</v>
      </c>
      <c r="C15" s="17" t="s">
        <v>215</v>
      </c>
      <c r="D15" s="17" t="s">
        <v>211</v>
      </c>
      <c r="E15" s="17" t="n">
        <v>2000</v>
      </c>
      <c r="F15" s="18" t="n">
        <v>2000</v>
      </c>
      <c r="G15" s="0" t="n">
        <f aca="false">IF(D15="Mono&amp;Dual",MIN(E15,F15)*2,MIN(E15,F15))</f>
        <v>4000</v>
      </c>
    </row>
    <row r="16" customFormat="false" ht="15" hidden="false" customHeight="false" outlineLevel="0" collapsed="false">
      <c r="A16" s="19" t="n">
        <v>3</v>
      </c>
      <c r="B16" s="20" t="n">
        <v>20</v>
      </c>
      <c r="C16" s="20" t="s">
        <v>216</v>
      </c>
      <c r="D16" s="20" t="s">
        <v>211</v>
      </c>
      <c r="E16" s="20" t="n">
        <v>3000</v>
      </c>
      <c r="F16" s="21" t="n">
        <v>4000</v>
      </c>
      <c r="G16" s="0" t="n">
        <f aca="false">IF(D16="Mono&amp;Dual",MIN(E16,F16)*2,MIN(E16,F16))</f>
        <v>6000</v>
      </c>
    </row>
    <row r="17" customFormat="false" ht="15" hidden="false" customHeight="false" outlineLevel="0" collapsed="false">
      <c r="A17" s="16" t="n">
        <v>3</v>
      </c>
      <c r="B17" s="17" t="n">
        <v>20</v>
      </c>
      <c r="C17" s="17" t="s">
        <v>223</v>
      </c>
      <c r="D17" s="17" t="s">
        <v>211</v>
      </c>
      <c r="E17" s="17" t="n">
        <v>4000</v>
      </c>
      <c r="F17" s="18" t="n">
        <v>6000</v>
      </c>
      <c r="G17" s="0" t="n">
        <f aca="false">IF(D17="Mono&amp;Dual",MIN(E17,F17)*2,MIN(E17,F17))</f>
        <v>8000</v>
      </c>
    </row>
    <row r="18" customFormat="false" ht="15" hidden="false" customHeight="false" outlineLevel="0" collapsed="false">
      <c r="A18" s="19" t="n">
        <v>3</v>
      </c>
      <c r="B18" s="20" t="n">
        <v>20</v>
      </c>
      <c r="C18" s="20" t="s">
        <v>224</v>
      </c>
      <c r="D18" s="20" t="s">
        <v>211</v>
      </c>
      <c r="E18" s="20" t="n">
        <v>5000</v>
      </c>
      <c r="F18" s="21" t="n">
        <v>8000</v>
      </c>
      <c r="G18" s="0" t="n">
        <f aca="false">IF(D18="Mono&amp;Dual",MIN(E18,F18)*2,MIN(E18,F18))</f>
        <v>10000</v>
      </c>
    </row>
    <row r="19" customFormat="false" ht="15" hidden="false" customHeight="false" outlineLevel="0" collapsed="false">
      <c r="A19" s="16" t="n">
        <v>3</v>
      </c>
      <c r="B19" s="17" t="n">
        <v>20</v>
      </c>
      <c r="C19" s="17" t="s">
        <v>217</v>
      </c>
      <c r="D19" s="17" t="s">
        <v>36</v>
      </c>
      <c r="E19" s="17"/>
      <c r="F19" s="18" t="n">
        <v>20000</v>
      </c>
      <c r="G19" s="0" t="n">
        <f aca="false">IF(D19="Mono&amp;Dual",MIN(E19,F19)*2,MIN(E19,F19))</f>
        <v>20000</v>
      </c>
    </row>
    <row r="20" customFormat="false" ht="15" hidden="false" customHeight="false" outlineLevel="0" collapsed="false">
      <c r="A20" s="19" t="n">
        <v>3</v>
      </c>
      <c r="B20" s="20" t="n">
        <v>20</v>
      </c>
      <c r="C20" s="20" t="s">
        <v>218</v>
      </c>
      <c r="D20" s="20" t="s">
        <v>36</v>
      </c>
      <c r="E20" s="20"/>
      <c r="F20" s="21" t="n">
        <v>24000</v>
      </c>
      <c r="G20" s="0" t="n">
        <f aca="false">IF(D20="Mono&amp;Dual",MIN(E20,F20)*2,MIN(E20,F20))</f>
        <v>24000</v>
      </c>
    </row>
    <row r="21" customFormat="false" ht="15" hidden="false" customHeight="false" outlineLevel="0" collapsed="false">
      <c r="A21" s="16" t="n">
        <v>3</v>
      </c>
      <c r="B21" s="17" t="n">
        <v>20</v>
      </c>
      <c r="C21" s="17" t="s">
        <v>219</v>
      </c>
      <c r="D21" s="17" t="s">
        <v>36</v>
      </c>
      <c r="E21" s="17"/>
      <c r="F21" s="18" t="n">
        <v>28000</v>
      </c>
      <c r="G21" s="0" t="n">
        <f aca="false">IF(D21="Mono&amp;Dual",MIN(E21,F21)*2,MIN(E21,F21))</f>
        <v>28000</v>
      </c>
    </row>
    <row r="22" customFormat="false" ht="15" hidden="false" customHeight="false" outlineLevel="0" collapsed="false">
      <c r="A22" s="19" t="n">
        <v>3</v>
      </c>
      <c r="B22" s="20" t="n">
        <v>20</v>
      </c>
      <c r="C22" s="20" t="s">
        <v>220</v>
      </c>
      <c r="D22" s="20" t="s">
        <v>36</v>
      </c>
      <c r="E22" s="20"/>
      <c r="F22" s="21" t="n">
        <v>32000</v>
      </c>
      <c r="G22" s="0" t="n">
        <f aca="false">IF(D22="Mono&amp;Dual",MIN(E22,F22)*2,MIN(E22,F22))</f>
        <v>32000</v>
      </c>
    </row>
    <row r="23" customFormat="false" ht="15" hidden="false" customHeight="false" outlineLevel="0" collapsed="false">
      <c r="A23" s="16" t="n">
        <v>3</v>
      </c>
      <c r="B23" s="17" t="n">
        <v>30</v>
      </c>
      <c r="C23" s="17" t="s">
        <v>233</v>
      </c>
      <c r="D23" s="17" t="s">
        <v>211</v>
      </c>
      <c r="E23" s="17" t="n">
        <v>8000</v>
      </c>
      <c r="F23" s="18" t="n">
        <v>14000</v>
      </c>
      <c r="G23" s="0" t="n">
        <f aca="false">IF(D23="Mono&amp;Dual",MIN(E23,F23)*2,MIN(E23,F23))</f>
        <v>16000</v>
      </c>
    </row>
    <row r="24" customFormat="false" ht="15" hidden="false" customHeight="false" outlineLevel="0" collapsed="false">
      <c r="A24" s="19" t="n">
        <v>3</v>
      </c>
      <c r="B24" s="20" t="n">
        <v>30</v>
      </c>
      <c r="C24" s="20" t="s">
        <v>234</v>
      </c>
      <c r="D24" s="20" t="s">
        <v>211</v>
      </c>
      <c r="E24" s="20" t="n">
        <v>10000</v>
      </c>
      <c r="F24" s="21" t="n">
        <v>16000</v>
      </c>
      <c r="G24" s="0" t="n">
        <f aca="false">IF(D24="Mono&amp;Dual",MIN(E24,F24)*2,MIN(E24,F24))</f>
        <v>20000</v>
      </c>
    </row>
    <row r="25" customFormat="false" ht="15" hidden="false" customHeight="false" outlineLevel="0" collapsed="false">
      <c r="A25" s="16" t="n">
        <v>3</v>
      </c>
      <c r="B25" s="17" t="n">
        <v>30</v>
      </c>
      <c r="C25" s="17" t="s">
        <v>235</v>
      </c>
      <c r="D25" s="17" t="s">
        <v>211</v>
      </c>
      <c r="E25" s="17" t="n">
        <v>12000</v>
      </c>
      <c r="F25" s="18" t="n">
        <v>18000</v>
      </c>
      <c r="G25" s="0" t="n">
        <f aca="false">IF(D25="Mono&amp;Dual",MIN(E25,F25)*2,MIN(E25,F25))</f>
        <v>24000</v>
      </c>
    </row>
    <row r="26" customFormat="false" ht="15" hidden="false" customHeight="false" outlineLevel="0" collapsed="false">
      <c r="A26" s="19" t="n">
        <v>3</v>
      </c>
      <c r="B26" s="20" t="n">
        <v>30</v>
      </c>
      <c r="C26" s="20" t="s">
        <v>236</v>
      </c>
      <c r="D26" s="20" t="s">
        <v>211</v>
      </c>
      <c r="E26" s="20" t="n">
        <v>14000</v>
      </c>
      <c r="F26" s="21" t="n">
        <v>20000</v>
      </c>
      <c r="G26" s="0" t="n">
        <f aca="false">IF(D26="Mono&amp;Dual",MIN(E26,F26)*2,MIN(E26,F26))</f>
        <v>28000</v>
      </c>
    </row>
    <row r="27" customFormat="false" ht="15" hidden="false" customHeight="false" outlineLevel="0" collapsed="false">
      <c r="A27" s="16" t="n">
        <v>3</v>
      </c>
      <c r="B27" s="17" t="n">
        <v>30</v>
      </c>
      <c r="C27" s="17" t="s">
        <v>237</v>
      </c>
      <c r="D27" s="17" t="s">
        <v>211</v>
      </c>
      <c r="E27" s="17" t="n">
        <v>16000</v>
      </c>
      <c r="F27" s="18" t="n">
        <v>22000</v>
      </c>
      <c r="G27" s="0" t="n">
        <f aca="false">IF(D27="Mono&amp;Dual",MIN(E27,F27)*2,MIN(E27,F27))</f>
        <v>32000</v>
      </c>
    </row>
    <row r="28" customFormat="false" ht="15" hidden="false" customHeight="false" outlineLevel="0" collapsed="false">
      <c r="A28" s="19" t="n">
        <v>3</v>
      </c>
      <c r="B28" s="20" t="n">
        <v>30</v>
      </c>
      <c r="C28" s="20" t="s">
        <v>238</v>
      </c>
      <c r="D28" s="20" t="s">
        <v>211</v>
      </c>
      <c r="E28" s="20" t="n">
        <v>18000</v>
      </c>
      <c r="F28" s="21" t="n">
        <v>24000</v>
      </c>
      <c r="G28" s="0" t="n">
        <f aca="false">IF(D28="Mono&amp;Dual",MIN(E28,F28)*2,MIN(E28,F28))</f>
        <v>36000</v>
      </c>
    </row>
    <row r="29" customFormat="false" ht="15" hidden="false" customHeight="false" outlineLevel="0" collapsed="false">
      <c r="A29" s="16" t="n">
        <v>3</v>
      </c>
      <c r="B29" s="17" t="n">
        <v>30</v>
      </c>
      <c r="C29" s="17" t="s">
        <v>215</v>
      </c>
      <c r="D29" s="17" t="s">
        <v>211</v>
      </c>
      <c r="E29" s="17" t="n">
        <v>2000</v>
      </c>
      <c r="F29" s="18" t="n">
        <v>2000</v>
      </c>
      <c r="G29" s="0" t="n">
        <f aca="false">IF(D29="Mono&amp;Dual",MIN(E29,F29)*2,MIN(E29,F29))</f>
        <v>4000</v>
      </c>
    </row>
    <row r="30" customFormat="false" ht="15" hidden="false" customHeight="false" outlineLevel="0" collapsed="false">
      <c r="A30" s="19" t="n">
        <v>3</v>
      </c>
      <c r="B30" s="20" t="n">
        <v>30</v>
      </c>
      <c r="C30" s="20" t="s">
        <v>216</v>
      </c>
      <c r="D30" s="20" t="s">
        <v>211</v>
      </c>
      <c r="E30" s="20" t="n">
        <v>3000</v>
      </c>
      <c r="F30" s="21" t="n">
        <v>4000</v>
      </c>
      <c r="G30" s="0" t="n">
        <f aca="false">IF(D30="Mono&amp;Dual",MIN(E30,F30)*2,MIN(E30,F30))</f>
        <v>6000</v>
      </c>
    </row>
    <row r="31" customFormat="false" ht="15" hidden="false" customHeight="false" outlineLevel="0" collapsed="false">
      <c r="A31" s="16" t="n">
        <v>3</v>
      </c>
      <c r="B31" s="17" t="n">
        <v>30</v>
      </c>
      <c r="C31" s="17" t="s">
        <v>223</v>
      </c>
      <c r="D31" s="17" t="s">
        <v>211</v>
      </c>
      <c r="E31" s="17" t="n">
        <v>4000</v>
      </c>
      <c r="F31" s="18" t="n">
        <v>6000</v>
      </c>
      <c r="G31" s="0" t="n">
        <f aca="false">IF(D31="Mono&amp;Dual",MIN(E31,F31)*2,MIN(E31,F31))</f>
        <v>8000</v>
      </c>
    </row>
    <row r="32" customFormat="false" ht="15" hidden="false" customHeight="false" outlineLevel="0" collapsed="false">
      <c r="A32" s="19" t="n">
        <v>3</v>
      </c>
      <c r="B32" s="20" t="n">
        <v>30</v>
      </c>
      <c r="C32" s="20" t="s">
        <v>224</v>
      </c>
      <c r="D32" s="20" t="s">
        <v>211</v>
      </c>
      <c r="E32" s="20" t="n">
        <v>5000</v>
      </c>
      <c r="F32" s="21" t="n">
        <v>8000</v>
      </c>
      <c r="G32" s="0" t="n">
        <f aca="false">IF(D32="Mono&amp;Dual",MIN(E32,F32)*2,MIN(E32,F32))</f>
        <v>10000</v>
      </c>
    </row>
    <row r="33" customFormat="false" ht="15" hidden="false" customHeight="false" outlineLevel="0" collapsed="false">
      <c r="A33" s="16" t="n">
        <v>3</v>
      </c>
      <c r="B33" s="17" t="n">
        <v>30</v>
      </c>
      <c r="C33" s="17" t="s">
        <v>231</v>
      </c>
      <c r="D33" s="17" t="s">
        <v>211</v>
      </c>
      <c r="E33" s="17" t="n">
        <v>6000</v>
      </c>
      <c r="F33" s="18" t="n">
        <v>10000</v>
      </c>
      <c r="G33" s="0" t="n">
        <f aca="false">IF(D33="Mono&amp;Dual",MIN(E33,F33)*2,MIN(E33,F33))</f>
        <v>12000</v>
      </c>
    </row>
    <row r="34" customFormat="false" ht="15" hidden="false" customHeight="false" outlineLevel="0" collapsed="false">
      <c r="A34" s="19" t="n">
        <v>3</v>
      </c>
      <c r="B34" s="20" t="n">
        <v>30</v>
      </c>
      <c r="C34" s="20" t="s">
        <v>232</v>
      </c>
      <c r="D34" s="20" t="s">
        <v>211</v>
      </c>
      <c r="E34" s="20" t="n">
        <v>7000</v>
      </c>
      <c r="F34" s="21" t="n">
        <v>12000</v>
      </c>
      <c r="G34" s="0" t="n">
        <f aca="false">IF(D34="Mono&amp;Dual",MIN(E34,F34)*2,MIN(E34,F34))</f>
        <v>14000</v>
      </c>
    </row>
    <row r="35" customFormat="false" ht="15" hidden="false" customHeight="false" outlineLevel="0" collapsed="false">
      <c r="A35" s="16" t="n">
        <v>3</v>
      </c>
      <c r="B35" s="17" t="n">
        <v>30</v>
      </c>
      <c r="C35" s="17" t="s">
        <v>217</v>
      </c>
      <c r="D35" s="17" t="s">
        <v>36</v>
      </c>
      <c r="E35" s="17"/>
      <c r="F35" s="18" t="n">
        <v>28000</v>
      </c>
      <c r="G35" s="0" t="n">
        <f aca="false">IF(D35="Mono&amp;Dual",MIN(E35,F35)*2,MIN(E35,F35))</f>
        <v>28000</v>
      </c>
    </row>
    <row r="36" customFormat="false" ht="15" hidden="false" customHeight="false" outlineLevel="0" collapsed="false">
      <c r="A36" s="19" t="n">
        <v>3</v>
      </c>
      <c r="B36" s="20" t="n">
        <v>30</v>
      </c>
      <c r="C36" s="20" t="s">
        <v>218</v>
      </c>
      <c r="D36" s="20" t="s">
        <v>36</v>
      </c>
      <c r="E36" s="20"/>
      <c r="F36" s="21" t="n">
        <v>32000</v>
      </c>
      <c r="G36" s="0" t="n">
        <f aca="false">IF(D36="Mono&amp;Dual",MIN(E36,F36)*2,MIN(E36,F36))</f>
        <v>32000</v>
      </c>
    </row>
    <row r="37" customFormat="false" ht="15" hidden="false" customHeight="false" outlineLevel="0" collapsed="false">
      <c r="A37" s="16" t="n">
        <v>3</v>
      </c>
      <c r="B37" s="17" t="n">
        <v>30</v>
      </c>
      <c r="C37" s="17" t="s">
        <v>219</v>
      </c>
      <c r="D37" s="17" t="s">
        <v>36</v>
      </c>
      <c r="E37" s="17"/>
      <c r="F37" s="18" t="n">
        <v>36000</v>
      </c>
      <c r="G37" s="0" t="n">
        <f aca="false">IF(D37="Mono&amp;Dual",MIN(E37,F37)*2,MIN(E37,F37))</f>
        <v>36000</v>
      </c>
    </row>
    <row r="38" customFormat="false" ht="15" hidden="false" customHeight="false" outlineLevel="0" collapsed="false">
      <c r="A38" s="19" t="n">
        <v>3</v>
      </c>
      <c r="B38" s="20" t="n">
        <v>30</v>
      </c>
      <c r="C38" s="20" t="s">
        <v>220</v>
      </c>
      <c r="D38" s="20" t="s">
        <v>36</v>
      </c>
      <c r="E38" s="20"/>
      <c r="F38" s="21" t="n">
        <v>40000</v>
      </c>
      <c r="G38" s="0" t="n">
        <f aca="false">IF(D38="Mono&amp;Dual",MIN(E38,F38)*2,MIN(E38,F38))</f>
        <v>40000</v>
      </c>
    </row>
    <row r="39" customFormat="false" ht="15" hidden="false" customHeight="false" outlineLevel="0" collapsed="false">
      <c r="A39" s="16" t="n">
        <v>3</v>
      </c>
      <c r="B39" s="17" t="n">
        <v>30</v>
      </c>
      <c r="C39" s="17" t="s">
        <v>221</v>
      </c>
      <c r="D39" s="17" t="s">
        <v>36</v>
      </c>
      <c r="E39" s="17"/>
      <c r="F39" s="18" t="n">
        <v>42000</v>
      </c>
      <c r="G39" s="0" t="n">
        <f aca="false">IF(D39="Mono&amp;Dual",MIN(E39,F39)*2,MIN(E39,F39))</f>
        <v>42000</v>
      </c>
    </row>
    <row r="40" customFormat="false" ht="15" hidden="false" customHeight="false" outlineLevel="0" collapsed="false">
      <c r="A40" s="19" t="n">
        <v>3</v>
      </c>
      <c r="B40" s="20" t="n">
        <v>30</v>
      </c>
      <c r="C40" s="20" t="s">
        <v>222</v>
      </c>
      <c r="D40" s="20" t="s">
        <v>36</v>
      </c>
      <c r="E40" s="20"/>
      <c r="F40" s="21" t="n">
        <v>44000</v>
      </c>
      <c r="G40" s="0" t="n">
        <f aca="false">IF(D40="Mono&amp;Dual",MIN(E40,F40)*2,MIN(E40,F40))</f>
        <v>44000</v>
      </c>
    </row>
    <row r="41" customFormat="false" ht="15" hidden="false" customHeight="false" outlineLevel="0" collapsed="false">
      <c r="A41" s="16" t="n">
        <v>3</v>
      </c>
      <c r="B41" s="17" t="n">
        <v>50</v>
      </c>
      <c r="C41" s="17" t="s">
        <v>237</v>
      </c>
      <c r="D41" s="17" t="s">
        <v>211</v>
      </c>
      <c r="E41" s="17" t="n">
        <v>11000</v>
      </c>
      <c r="F41" s="18" t="n">
        <v>22000</v>
      </c>
      <c r="G41" s="0" t="n">
        <f aca="false">IF(D41="Mono&amp;Dual",MIN(E41,F41)*2,MIN(E41,F41))</f>
        <v>22000</v>
      </c>
    </row>
    <row r="42" customFormat="false" ht="15" hidden="false" customHeight="false" outlineLevel="0" collapsed="false">
      <c r="A42" s="19" t="n">
        <v>3</v>
      </c>
      <c r="B42" s="20" t="n">
        <v>50</v>
      </c>
      <c r="C42" s="20" t="s">
        <v>238</v>
      </c>
      <c r="D42" s="20" t="s">
        <v>211</v>
      </c>
      <c r="E42" s="20" t="n">
        <v>12000</v>
      </c>
      <c r="F42" s="21" t="n">
        <v>24000</v>
      </c>
      <c r="G42" s="0" t="n">
        <f aca="false">IF(D42="Mono&amp;Dual",MIN(E42,F42)*2,MIN(E42,F42))</f>
        <v>24000</v>
      </c>
    </row>
    <row r="43" customFormat="false" ht="15" hidden="false" customHeight="false" outlineLevel="0" collapsed="false">
      <c r="A43" s="16" t="n">
        <v>3</v>
      </c>
      <c r="B43" s="17" t="n">
        <v>50</v>
      </c>
      <c r="C43" s="17" t="s">
        <v>239</v>
      </c>
      <c r="D43" s="17" t="s">
        <v>211</v>
      </c>
      <c r="E43" s="17" t="n">
        <v>13000</v>
      </c>
      <c r="F43" s="18" t="n">
        <v>26000</v>
      </c>
      <c r="G43" s="0" t="n">
        <f aca="false">IF(D43="Mono&amp;Dual",MIN(E43,F43)*2,MIN(E43,F43))</f>
        <v>26000</v>
      </c>
    </row>
    <row r="44" customFormat="false" ht="15" hidden="false" customHeight="false" outlineLevel="0" collapsed="false">
      <c r="A44" s="19" t="n">
        <v>3</v>
      </c>
      <c r="B44" s="20" t="n">
        <v>50</v>
      </c>
      <c r="C44" s="20" t="s">
        <v>240</v>
      </c>
      <c r="D44" s="20" t="s">
        <v>211</v>
      </c>
      <c r="E44" s="20" t="n">
        <v>14000</v>
      </c>
      <c r="F44" s="21" t="n">
        <v>28000</v>
      </c>
      <c r="G44" s="0" t="n">
        <f aca="false">IF(D44="Mono&amp;Dual",MIN(E44,F44)*2,MIN(E44,F44))</f>
        <v>28000</v>
      </c>
    </row>
    <row r="45" customFormat="false" ht="15" hidden="false" customHeight="false" outlineLevel="0" collapsed="false">
      <c r="A45" s="16" t="n">
        <v>3</v>
      </c>
      <c r="B45" s="17" t="n">
        <v>50</v>
      </c>
      <c r="C45" s="17" t="s">
        <v>241</v>
      </c>
      <c r="D45" s="17" t="s">
        <v>211</v>
      </c>
      <c r="E45" s="17" t="n">
        <v>15000</v>
      </c>
      <c r="F45" s="18" t="n">
        <v>30000</v>
      </c>
      <c r="G45" s="0" t="n">
        <f aca="false">IF(D45="Mono&amp;Dual",MIN(E45,F45)*2,MIN(E45,F45))</f>
        <v>30000</v>
      </c>
    </row>
    <row r="46" customFormat="false" ht="15" hidden="false" customHeight="false" outlineLevel="0" collapsed="false">
      <c r="A46" s="19" t="n">
        <v>3</v>
      </c>
      <c r="B46" s="20" t="n">
        <v>50</v>
      </c>
      <c r="C46" s="20" t="s">
        <v>242</v>
      </c>
      <c r="D46" s="20" t="s">
        <v>211</v>
      </c>
      <c r="E46" s="20" t="n">
        <v>16000</v>
      </c>
      <c r="F46" s="21" t="n">
        <v>32000</v>
      </c>
      <c r="G46" s="0" t="n">
        <f aca="false">IF(D46="Mono&amp;Dual",MIN(E46,F46)*2,MIN(E46,F46))</f>
        <v>32000</v>
      </c>
    </row>
    <row r="47" customFormat="false" ht="15" hidden="false" customHeight="false" outlineLevel="0" collapsed="false">
      <c r="A47" s="16" t="n">
        <v>3</v>
      </c>
      <c r="B47" s="17" t="n">
        <v>50</v>
      </c>
      <c r="C47" s="17" t="s">
        <v>243</v>
      </c>
      <c r="D47" s="17" t="s">
        <v>211</v>
      </c>
      <c r="E47" s="17" t="n">
        <v>17000</v>
      </c>
      <c r="F47" s="18" t="n">
        <v>34000</v>
      </c>
      <c r="G47" s="0" t="n">
        <f aca="false">IF(D47="Mono&amp;Dual",MIN(E47,F47)*2,MIN(E47,F47))</f>
        <v>34000</v>
      </c>
    </row>
    <row r="48" customFormat="false" ht="15" hidden="false" customHeight="false" outlineLevel="0" collapsed="false">
      <c r="A48" s="19" t="n">
        <v>3</v>
      </c>
      <c r="B48" s="20" t="n">
        <v>50</v>
      </c>
      <c r="C48" s="20" t="s">
        <v>244</v>
      </c>
      <c r="D48" s="20" t="s">
        <v>211</v>
      </c>
      <c r="E48" s="20" t="n">
        <v>18000</v>
      </c>
      <c r="F48" s="21" t="n">
        <v>36000</v>
      </c>
      <c r="G48" s="0" t="n">
        <f aca="false">IF(D48="Mono&amp;Dual",MIN(E48,F48)*2,MIN(E48,F48))</f>
        <v>36000</v>
      </c>
    </row>
    <row r="49" customFormat="false" ht="15" hidden="false" customHeight="false" outlineLevel="0" collapsed="false">
      <c r="A49" s="16" t="n">
        <v>3</v>
      </c>
      <c r="B49" s="17" t="n">
        <v>50</v>
      </c>
      <c r="C49" s="17" t="s">
        <v>245</v>
      </c>
      <c r="D49" s="17" t="s">
        <v>211</v>
      </c>
      <c r="E49" s="17" t="n">
        <v>19000</v>
      </c>
      <c r="F49" s="18" t="n">
        <v>38000</v>
      </c>
      <c r="G49" s="0" t="n">
        <f aca="false">IF(D49="Mono&amp;Dual",MIN(E49,F49)*2,MIN(E49,F49))</f>
        <v>38000</v>
      </c>
    </row>
    <row r="50" customFormat="false" ht="15" hidden="false" customHeight="false" outlineLevel="0" collapsed="false">
      <c r="A50" s="19" t="n">
        <v>3</v>
      </c>
      <c r="B50" s="20" t="n">
        <v>50</v>
      </c>
      <c r="C50" s="20" t="s">
        <v>246</v>
      </c>
      <c r="D50" s="20" t="s">
        <v>211</v>
      </c>
      <c r="E50" s="20" t="n">
        <v>20000</v>
      </c>
      <c r="F50" s="21" t="n">
        <v>40000</v>
      </c>
      <c r="G50" s="0" t="n">
        <f aca="false">IF(D50="Mono&amp;Dual",MIN(E50,F50)*2,MIN(E50,F50))</f>
        <v>40000</v>
      </c>
    </row>
    <row r="51" customFormat="false" ht="15" hidden="false" customHeight="false" outlineLevel="0" collapsed="false">
      <c r="A51" s="16" t="n">
        <v>3</v>
      </c>
      <c r="B51" s="17" t="n">
        <v>50</v>
      </c>
      <c r="C51" s="17" t="s">
        <v>215</v>
      </c>
      <c r="D51" s="17" t="s">
        <v>211</v>
      </c>
      <c r="E51" s="17" t="n">
        <v>1000</v>
      </c>
      <c r="F51" s="18" t="n">
        <v>2000</v>
      </c>
      <c r="G51" s="0" t="n">
        <f aca="false">IF(D51="Mono&amp;Dual",MIN(E51,F51)*2,MIN(E51,F51))</f>
        <v>2000</v>
      </c>
    </row>
    <row r="52" customFormat="false" ht="15" hidden="false" customHeight="false" outlineLevel="0" collapsed="false">
      <c r="A52" s="19" t="n">
        <v>3</v>
      </c>
      <c r="B52" s="20" t="n">
        <v>50</v>
      </c>
      <c r="C52" s="20" t="s">
        <v>216</v>
      </c>
      <c r="D52" s="20" t="s">
        <v>211</v>
      </c>
      <c r="E52" s="20" t="n">
        <v>2000</v>
      </c>
      <c r="F52" s="21" t="n">
        <v>4000</v>
      </c>
      <c r="G52" s="0" t="n">
        <f aca="false">IF(D52="Mono&amp;Dual",MIN(E52,F52)*2,MIN(E52,F52))</f>
        <v>4000</v>
      </c>
    </row>
    <row r="53" customFormat="false" ht="15" hidden="false" customHeight="false" outlineLevel="0" collapsed="false">
      <c r="A53" s="16" t="n">
        <v>3</v>
      </c>
      <c r="B53" s="17" t="n">
        <v>50</v>
      </c>
      <c r="C53" s="17" t="s">
        <v>223</v>
      </c>
      <c r="D53" s="17" t="s">
        <v>211</v>
      </c>
      <c r="E53" s="17" t="n">
        <v>3000</v>
      </c>
      <c r="F53" s="18" t="n">
        <v>6000</v>
      </c>
      <c r="G53" s="0" t="n">
        <f aca="false">IF(D53="Mono&amp;Dual",MIN(E53,F53)*2,MIN(E53,F53))</f>
        <v>6000</v>
      </c>
    </row>
    <row r="54" customFormat="false" ht="15" hidden="false" customHeight="false" outlineLevel="0" collapsed="false">
      <c r="A54" s="19" t="n">
        <v>3</v>
      </c>
      <c r="B54" s="20" t="n">
        <v>50</v>
      </c>
      <c r="C54" s="20" t="s">
        <v>224</v>
      </c>
      <c r="D54" s="20" t="s">
        <v>211</v>
      </c>
      <c r="E54" s="20" t="n">
        <v>4000</v>
      </c>
      <c r="F54" s="21" t="n">
        <v>8000</v>
      </c>
      <c r="G54" s="0" t="n">
        <f aca="false">IF(D54="Mono&amp;Dual",MIN(E54,F54)*2,MIN(E54,F54))</f>
        <v>8000</v>
      </c>
    </row>
    <row r="55" customFormat="false" ht="15" hidden="false" customHeight="false" outlineLevel="0" collapsed="false">
      <c r="A55" s="16" t="n">
        <v>3</v>
      </c>
      <c r="B55" s="17" t="n">
        <v>50</v>
      </c>
      <c r="C55" s="17" t="s">
        <v>231</v>
      </c>
      <c r="D55" s="17" t="s">
        <v>211</v>
      </c>
      <c r="E55" s="17" t="n">
        <v>5000</v>
      </c>
      <c r="F55" s="18" t="n">
        <v>10000</v>
      </c>
      <c r="G55" s="0" t="n">
        <f aca="false">IF(D55="Mono&amp;Dual",MIN(E55,F55)*2,MIN(E55,F55))</f>
        <v>10000</v>
      </c>
    </row>
    <row r="56" customFormat="false" ht="15" hidden="false" customHeight="false" outlineLevel="0" collapsed="false">
      <c r="A56" s="19" t="n">
        <v>3</v>
      </c>
      <c r="B56" s="20" t="n">
        <v>50</v>
      </c>
      <c r="C56" s="20" t="s">
        <v>232</v>
      </c>
      <c r="D56" s="20" t="s">
        <v>211</v>
      </c>
      <c r="E56" s="20" t="n">
        <v>6000</v>
      </c>
      <c r="F56" s="21" t="n">
        <v>12000</v>
      </c>
      <c r="G56" s="0" t="n">
        <f aca="false">IF(D56="Mono&amp;Dual",MIN(E56,F56)*2,MIN(E56,F56))</f>
        <v>12000</v>
      </c>
    </row>
    <row r="57" customFormat="false" ht="15" hidden="false" customHeight="false" outlineLevel="0" collapsed="false">
      <c r="A57" s="16" t="n">
        <v>3</v>
      </c>
      <c r="B57" s="17" t="n">
        <v>50</v>
      </c>
      <c r="C57" s="17" t="s">
        <v>233</v>
      </c>
      <c r="D57" s="17" t="s">
        <v>211</v>
      </c>
      <c r="E57" s="17" t="n">
        <v>7000</v>
      </c>
      <c r="F57" s="18" t="n">
        <v>14000</v>
      </c>
      <c r="G57" s="0" t="n">
        <f aca="false">IF(D57="Mono&amp;Dual",MIN(E57,F57)*2,MIN(E57,F57))</f>
        <v>14000</v>
      </c>
    </row>
    <row r="58" customFormat="false" ht="15" hidden="false" customHeight="false" outlineLevel="0" collapsed="false">
      <c r="A58" s="19" t="n">
        <v>3</v>
      </c>
      <c r="B58" s="20" t="n">
        <v>50</v>
      </c>
      <c r="C58" s="20" t="s">
        <v>234</v>
      </c>
      <c r="D58" s="20" t="s">
        <v>211</v>
      </c>
      <c r="E58" s="20" t="n">
        <v>8000</v>
      </c>
      <c r="F58" s="21" t="n">
        <v>16000</v>
      </c>
      <c r="G58" s="0" t="n">
        <f aca="false">IF(D58="Mono&amp;Dual",MIN(E58,F58)*2,MIN(E58,F58))</f>
        <v>16000</v>
      </c>
    </row>
    <row r="59" customFormat="false" ht="15" hidden="false" customHeight="false" outlineLevel="0" collapsed="false">
      <c r="A59" s="16" t="n">
        <v>3</v>
      </c>
      <c r="B59" s="17" t="n">
        <v>50</v>
      </c>
      <c r="C59" s="17" t="s">
        <v>235</v>
      </c>
      <c r="D59" s="17" t="s">
        <v>211</v>
      </c>
      <c r="E59" s="17" t="n">
        <v>9000</v>
      </c>
      <c r="F59" s="18" t="n">
        <v>18000</v>
      </c>
      <c r="G59" s="0" t="n">
        <f aca="false">IF(D59="Mono&amp;Dual",MIN(E59,F59)*2,MIN(E59,F59))</f>
        <v>18000</v>
      </c>
    </row>
    <row r="60" customFormat="false" ht="15" hidden="false" customHeight="false" outlineLevel="0" collapsed="false">
      <c r="A60" s="19" t="n">
        <v>3</v>
      </c>
      <c r="B60" s="20" t="n">
        <v>50</v>
      </c>
      <c r="C60" s="20" t="s">
        <v>236</v>
      </c>
      <c r="D60" s="20" t="s">
        <v>211</v>
      </c>
      <c r="E60" s="20" t="n">
        <v>10000</v>
      </c>
      <c r="F60" s="21" t="n">
        <v>20000</v>
      </c>
      <c r="G60" s="0" t="n">
        <f aca="false">IF(D60="Mono&amp;Dual",MIN(E60,F60)*2,MIN(E60,F60))</f>
        <v>20000</v>
      </c>
    </row>
    <row r="61" customFormat="false" ht="15" hidden="false" customHeight="false" outlineLevel="0" collapsed="false">
      <c r="A61" s="16" t="n">
        <v>3</v>
      </c>
      <c r="B61" s="17" t="n">
        <v>50</v>
      </c>
      <c r="C61" s="17" t="s">
        <v>217</v>
      </c>
      <c r="D61" s="17" t="s">
        <v>36</v>
      </c>
      <c r="E61" s="17"/>
      <c r="F61" s="18" t="n">
        <v>50000</v>
      </c>
      <c r="G61" s="0" t="n">
        <f aca="false">IF(D61="Mono&amp;Dual",MIN(E61,F61)*2,MIN(E61,F61))</f>
        <v>50000</v>
      </c>
    </row>
    <row r="62" customFormat="false" ht="15" hidden="false" customHeight="false" outlineLevel="0" collapsed="false">
      <c r="A62" s="19" t="n">
        <v>3</v>
      </c>
      <c r="B62" s="20" t="n">
        <v>50</v>
      </c>
      <c r="C62" s="20" t="s">
        <v>218</v>
      </c>
      <c r="D62" s="20" t="s">
        <v>36</v>
      </c>
      <c r="E62" s="20"/>
      <c r="F62" s="21" t="n">
        <v>60000</v>
      </c>
      <c r="G62" s="0" t="n">
        <f aca="false">IF(D62="Mono&amp;Dual",MIN(E62,F62)*2,MIN(E62,F62))</f>
        <v>60000</v>
      </c>
    </row>
    <row r="63" customFormat="false" ht="15" hidden="false" customHeight="false" outlineLevel="0" collapsed="false">
      <c r="A63" s="16" t="n">
        <v>3</v>
      </c>
      <c r="B63" s="17" t="n">
        <v>50</v>
      </c>
      <c r="C63" s="17" t="s">
        <v>219</v>
      </c>
      <c r="D63" s="17" t="s">
        <v>36</v>
      </c>
      <c r="E63" s="17"/>
      <c r="F63" s="18" t="n">
        <v>70000</v>
      </c>
      <c r="G63" s="0" t="n">
        <f aca="false">IF(D63="Mono&amp;Dual",MIN(E63,F63)*2,MIN(E63,F63))</f>
        <v>70000</v>
      </c>
    </row>
    <row r="64" customFormat="false" ht="15" hidden="false" customHeight="false" outlineLevel="0" collapsed="false">
      <c r="A64" s="19" t="n">
        <v>3</v>
      </c>
      <c r="B64" s="20" t="n">
        <v>50</v>
      </c>
      <c r="C64" s="20" t="s">
        <v>220</v>
      </c>
      <c r="D64" s="20" t="s">
        <v>36</v>
      </c>
      <c r="E64" s="20"/>
      <c r="F64" s="21" t="n">
        <v>80000</v>
      </c>
      <c r="G64" s="0" t="n">
        <f aca="false">IF(D64="Mono&amp;Dual",MIN(E64,F64)*2,MIN(E64,F64))</f>
        <v>80000</v>
      </c>
    </row>
    <row r="65" customFormat="false" ht="15" hidden="false" customHeight="false" outlineLevel="0" collapsed="false">
      <c r="A65" s="16" t="n">
        <v>3</v>
      </c>
      <c r="B65" s="17" t="n">
        <v>50</v>
      </c>
      <c r="C65" s="17" t="s">
        <v>221</v>
      </c>
      <c r="D65" s="17" t="s">
        <v>36</v>
      </c>
      <c r="E65" s="17"/>
      <c r="F65" s="18" t="n">
        <v>84000</v>
      </c>
      <c r="G65" s="0" t="n">
        <f aca="false">IF(D65="Mono&amp;Dual",MIN(E65,F65)*2,MIN(E65,F65))</f>
        <v>84000</v>
      </c>
    </row>
    <row r="66" customFormat="false" ht="15" hidden="false" customHeight="false" outlineLevel="0" collapsed="false">
      <c r="A66" s="19" t="n">
        <v>3</v>
      </c>
      <c r="B66" s="20" t="n">
        <v>50</v>
      </c>
      <c r="C66" s="20" t="s">
        <v>222</v>
      </c>
      <c r="D66" s="20" t="s">
        <v>36</v>
      </c>
      <c r="E66" s="20"/>
      <c r="F66" s="21" t="n">
        <v>88000</v>
      </c>
      <c r="G66" s="0" t="n">
        <f aca="false">IF(D66="Mono&amp;Dual",MIN(E66,F66)*2,MIN(E66,F66))</f>
        <v>88000</v>
      </c>
    </row>
    <row r="67" customFormat="false" ht="15" hidden="false" customHeight="false" outlineLevel="0" collapsed="false">
      <c r="A67" s="16" t="n">
        <v>3</v>
      </c>
      <c r="B67" s="17" t="n">
        <v>50</v>
      </c>
      <c r="C67" s="17" t="s">
        <v>225</v>
      </c>
      <c r="D67" s="17" t="s">
        <v>36</v>
      </c>
      <c r="E67" s="17"/>
      <c r="F67" s="18" t="n">
        <v>92000</v>
      </c>
      <c r="G67" s="0" t="n">
        <f aca="false">IF(D67="Mono&amp;Dual",MIN(E67,F67)*2,MIN(E67,F67))</f>
        <v>92000</v>
      </c>
    </row>
    <row r="68" customFormat="false" ht="15" hidden="false" customHeight="false" outlineLevel="0" collapsed="false">
      <c r="A68" s="19" t="n">
        <v>3</v>
      </c>
      <c r="B68" s="20" t="n">
        <v>50</v>
      </c>
      <c r="C68" s="20" t="s">
        <v>226</v>
      </c>
      <c r="D68" s="20" t="s">
        <v>36</v>
      </c>
      <c r="E68" s="20"/>
      <c r="F68" s="21" t="n">
        <v>96000</v>
      </c>
      <c r="G68" s="0" t="n">
        <f aca="false">IF(D68="Mono&amp;Dual",MIN(E68,F68)*2,MIN(E68,F68))</f>
        <v>96000</v>
      </c>
    </row>
    <row r="69" customFormat="false" ht="15" hidden="false" customHeight="false" outlineLevel="0" collapsed="false">
      <c r="A69" s="16" t="n">
        <v>3</v>
      </c>
      <c r="B69" s="17" t="n">
        <v>50</v>
      </c>
      <c r="C69" s="17" t="s">
        <v>227</v>
      </c>
      <c r="D69" s="17" t="s">
        <v>36</v>
      </c>
      <c r="E69" s="17"/>
      <c r="F69" s="18" t="n">
        <v>98000</v>
      </c>
      <c r="G69" s="0" t="n">
        <f aca="false">IF(D69="Mono&amp;Dual",MIN(E69,F69)*2,MIN(E69,F69))</f>
        <v>98000</v>
      </c>
    </row>
    <row r="70" customFormat="false" ht="15" hidden="false" customHeight="false" outlineLevel="0" collapsed="false">
      <c r="A70" s="19" t="n">
        <v>3</v>
      </c>
      <c r="B70" s="20" t="n">
        <v>50</v>
      </c>
      <c r="C70" s="20" t="s">
        <v>228</v>
      </c>
      <c r="D70" s="20" t="s">
        <v>36</v>
      </c>
      <c r="E70" s="20"/>
      <c r="F70" s="21" t="n">
        <v>100000</v>
      </c>
      <c r="G70" s="0" t="n">
        <f aca="false">IF(D70="Mono&amp;Dual",MIN(E70,F70)*2,MIN(E70,F70))</f>
        <v>100000</v>
      </c>
    </row>
    <row r="71" customFormat="false" ht="15" hidden="false" customHeight="false" outlineLevel="0" collapsed="false">
      <c r="A71" s="16" t="n">
        <v>3</v>
      </c>
      <c r="B71" s="17" t="n">
        <v>100</v>
      </c>
      <c r="C71" s="17" t="s">
        <v>295</v>
      </c>
      <c r="D71" s="17" t="s">
        <v>211</v>
      </c>
      <c r="E71" s="17" t="n">
        <v>21000</v>
      </c>
      <c r="F71" s="18" t="n">
        <v>42000</v>
      </c>
      <c r="G71" s="0" t="n">
        <f aca="false">IF(D71="Mono&amp;Dual",MIN(E71,F71)*2,MIN(E71,F71))</f>
        <v>42000</v>
      </c>
    </row>
    <row r="72" customFormat="false" ht="15" hidden="false" customHeight="false" outlineLevel="0" collapsed="false">
      <c r="A72" s="19" t="n">
        <v>3</v>
      </c>
      <c r="B72" s="20" t="n">
        <v>100</v>
      </c>
      <c r="C72" s="20" t="s">
        <v>296</v>
      </c>
      <c r="D72" s="20" t="s">
        <v>211</v>
      </c>
      <c r="E72" s="20" t="n">
        <v>22000</v>
      </c>
      <c r="F72" s="21" t="n">
        <v>44000</v>
      </c>
      <c r="G72" s="0" t="n">
        <f aca="false">IF(D72="Mono&amp;Dual",MIN(E72,F72)*2,MIN(E72,F72))</f>
        <v>44000</v>
      </c>
    </row>
    <row r="73" customFormat="false" ht="15" hidden="false" customHeight="false" outlineLevel="0" collapsed="false">
      <c r="A73" s="16" t="n">
        <v>3</v>
      </c>
      <c r="B73" s="17" t="n">
        <v>100</v>
      </c>
      <c r="C73" s="17" t="s">
        <v>297</v>
      </c>
      <c r="D73" s="17" t="s">
        <v>211</v>
      </c>
      <c r="E73" s="17" t="n">
        <v>23000</v>
      </c>
      <c r="F73" s="18" t="n">
        <v>46000</v>
      </c>
      <c r="G73" s="0" t="n">
        <f aca="false">IF(D73="Mono&amp;Dual",MIN(E73,F73)*2,MIN(E73,F73))</f>
        <v>46000</v>
      </c>
    </row>
    <row r="74" customFormat="false" ht="15" hidden="false" customHeight="false" outlineLevel="0" collapsed="false">
      <c r="A74" s="19" t="n">
        <v>3</v>
      </c>
      <c r="B74" s="20" t="n">
        <v>100</v>
      </c>
      <c r="C74" s="20" t="s">
        <v>298</v>
      </c>
      <c r="D74" s="20" t="s">
        <v>211</v>
      </c>
      <c r="E74" s="20" t="n">
        <v>24000</v>
      </c>
      <c r="F74" s="21" t="n">
        <v>48000</v>
      </c>
      <c r="G74" s="0" t="n">
        <f aca="false">IF(D74="Mono&amp;Dual",MIN(E74,F74)*2,MIN(E74,F74))</f>
        <v>48000</v>
      </c>
    </row>
    <row r="75" customFormat="false" ht="15" hidden="false" customHeight="false" outlineLevel="0" collapsed="false">
      <c r="A75" s="16" t="n">
        <v>3</v>
      </c>
      <c r="B75" s="17" t="n">
        <v>100</v>
      </c>
      <c r="C75" s="17" t="s">
        <v>299</v>
      </c>
      <c r="D75" s="17" t="s">
        <v>211</v>
      </c>
      <c r="E75" s="17" t="n">
        <v>25000</v>
      </c>
      <c r="F75" s="18" t="n">
        <v>50000</v>
      </c>
      <c r="G75" s="0" t="n">
        <f aca="false">IF(D75="Mono&amp;Dual",MIN(E75,F75)*2,MIN(E75,F75))</f>
        <v>50000</v>
      </c>
    </row>
    <row r="76" customFormat="false" ht="15" hidden="false" customHeight="false" outlineLevel="0" collapsed="false">
      <c r="A76" s="19" t="n">
        <v>3</v>
      </c>
      <c r="B76" s="20" t="n">
        <v>100</v>
      </c>
      <c r="C76" s="20" t="s">
        <v>300</v>
      </c>
      <c r="D76" s="20" t="s">
        <v>211</v>
      </c>
      <c r="E76" s="20" t="n">
        <v>26000</v>
      </c>
      <c r="F76" s="21" t="n">
        <v>52000</v>
      </c>
      <c r="G76" s="0" t="n">
        <f aca="false">IF(D76="Mono&amp;Dual",MIN(E76,F76)*2,MIN(E76,F76))</f>
        <v>52000</v>
      </c>
    </row>
    <row r="77" customFormat="false" ht="15" hidden="false" customHeight="false" outlineLevel="0" collapsed="false">
      <c r="A77" s="16" t="n">
        <v>3</v>
      </c>
      <c r="B77" s="17" t="n">
        <v>100</v>
      </c>
      <c r="C77" s="17" t="s">
        <v>301</v>
      </c>
      <c r="D77" s="17" t="s">
        <v>211</v>
      </c>
      <c r="E77" s="17" t="n">
        <v>27000</v>
      </c>
      <c r="F77" s="18" t="n">
        <v>54000</v>
      </c>
      <c r="G77" s="0" t="n">
        <f aca="false">IF(D77="Mono&amp;Dual",MIN(E77,F77)*2,MIN(E77,F77))</f>
        <v>54000</v>
      </c>
    </row>
    <row r="78" customFormat="false" ht="15" hidden="false" customHeight="false" outlineLevel="0" collapsed="false">
      <c r="A78" s="19" t="n">
        <v>3</v>
      </c>
      <c r="B78" s="20" t="n">
        <v>100</v>
      </c>
      <c r="C78" s="20" t="s">
        <v>302</v>
      </c>
      <c r="D78" s="20" t="s">
        <v>211</v>
      </c>
      <c r="E78" s="20" t="n">
        <v>28000</v>
      </c>
      <c r="F78" s="21" t="n">
        <v>56000</v>
      </c>
      <c r="G78" s="0" t="n">
        <f aca="false">IF(D78="Mono&amp;Dual",MIN(E78,F78)*2,MIN(E78,F78))</f>
        <v>56000</v>
      </c>
    </row>
    <row r="79" customFormat="false" ht="15" hidden="false" customHeight="false" outlineLevel="0" collapsed="false">
      <c r="A79" s="16" t="n">
        <v>3</v>
      </c>
      <c r="B79" s="17" t="n">
        <v>100</v>
      </c>
      <c r="C79" s="17" t="s">
        <v>303</v>
      </c>
      <c r="D79" s="17" t="s">
        <v>211</v>
      </c>
      <c r="E79" s="17" t="n">
        <v>29000</v>
      </c>
      <c r="F79" s="18" t="n">
        <v>58000</v>
      </c>
      <c r="G79" s="0" t="n">
        <f aca="false">IF(D79="Mono&amp;Dual",MIN(E79,F79)*2,MIN(E79,F79))</f>
        <v>58000</v>
      </c>
    </row>
    <row r="80" customFormat="false" ht="15" hidden="false" customHeight="false" outlineLevel="0" collapsed="false">
      <c r="A80" s="19" t="n">
        <v>3</v>
      </c>
      <c r="B80" s="20" t="n">
        <v>100</v>
      </c>
      <c r="C80" s="20" t="s">
        <v>304</v>
      </c>
      <c r="D80" s="20" t="s">
        <v>211</v>
      </c>
      <c r="E80" s="20" t="n">
        <v>30000</v>
      </c>
      <c r="F80" s="21" t="n">
        <v>60000</v>
      </c>
      <c r="G80" s="0" t="n">
        <f aca="false">IF(D80="Mono&amp;Dual",MIN(E80,F80)*2,MIN(E80,F80))</f>
        <v>60000</v>
      </c>
    </row>
    <row r="81" customFormat="false" ht="15" hidden="false" customHeight="false" outlineLevel="0" collapsed="false">
      <c r="A81" s="16" t="n">
        <v>3</v>
      </c>
      <c r="B81" s="17" t="n">
        <v>100</v>
      </c>
      <c r="C81" s="17" t="s">
        <v>305</v>
      </c>
      <c r="D81" s="17" t="s">
        <v>211</v>
      </c>
      <c r="E81" s="17" t="n">
        <v>31000</v>
      </c>
      <c r="F81" s="18" t="n">
        <v>62000</v>
      </c>
      <c r="G81" s="0" t="n">
        <f aca="false">IF(D81="Mono&amp;Dual",MIN(E81,F81)*2,MIN(E81,F81))</f>
        <v>62000</v>
      </c>
    </row>
    <row r="82" customFormat="false" ht="15" hidden="false" customHeight="false" outlineLevel="0" collapsed="false">
      <c r="A82" s="19" t="n">
        <v>3</v>
      </c>
      <c r="B82" s="20" t="n">
        <v>100</v>
      </c>
      <c r="C82" s="20" t="s">
        <v>306</v>
      </c>
      <c r="D82" s="20" t="s">
        <v>211</v>
      </c>
      <c r="E82" s="20" t="n">
        <v>32000</v>
      </c>
      <c r="F82" s="21" t="n">
        <v>64000</v>
      </c>
      <c r="G82" s="0" t="n">
        <f aca="false">IF(D82="Mono&amp;Dual",MIN(E82,F82)*2,MIN(E82,F82))</f>
        <v>64000</v>
      </c>
    </row>
    <row r="83" customFormat="false" ht="15" hidden="false" customHeight="false" outlineLevel="0" collapsed="false">
      <c r="A83" s="16" t="n">
        <v>3</v>
      </c>
      <c r="B83" s="17" t="n">
        <v>100</v>
      </c>
      <c r="C83" s="17" t="s">
        <v>307</v>
      </c>
      <c r="D83" s="17" t="s">
        <v>211</v>
      </c>
      <c r="E83" s="17" t="n">
        <v>33000</v>
      </c>
      <c r="F83" s="18" t="n">
        <v>66000</v>
      </c>
      <c r="G83" s="0" t="n">
        <f aca="false">IF(D83="Mono&amp;Dual",MIN(E83,F83)*2,MIN(E83,F83))</f>
        <v>66000</v>
      </c>
    </row>
    <row r="84" customFormat="false" ht="15" hidden="false" customHeight="false" outlineLevel="0" collapsed="false">
      <c r="A84" s="19" t="n">
        <v>3</v>
      </c>
      <c r="B84" s="20" t="n">
        <v>100</v>
      </c>
      <c r="C84" s="20" t="s">
        <v>308</v>
      </c>
      <c r="D84" s="20" t="s">
        <v>211</v>
      </c>
      <c r="E84" s="20" t="n">
        <v>34000</v>
      </c>
      <c r="F84" s="21" t="n">
        <v>68000</v>
      </c>
      <c r="G84" s="0" t="n">
        <f aca="false">IF(D84="Mono&amp;Dual",MIN(E84,F84)*2,MIN(E84,F84))</f>
        <v>68000</v>
      </c>
    </row>
    <row r="85" customFormat="false" ht="15" hidden="false" customHeight="false" outlineLevel="0" collapsed="false">
      <c r="A85" s="16" t="n">
        <v>3</v>
      </c>
      <c r="B85" s="17" t="n">
        <v>100</v>
      </c>
      <c r="C85" s="17" t="s">
        <v>309</v>
      </c>
      <c r="D85" s="17" t="s">
        <v>211</v>
      </c>
      <c r="E85" s="17" t="n">
        <v>35000</v>
      </c>
      <c r="F85" s="18" t="n">
        <v>70000</v>
      </c>
      <c r="G85" s="0" t="n">
        <f aca="false">IF(D85="Mono&amp;Dual",MIN(E85,F85)*2,MIN(E85,F85))</f>
        <v>70000</v>
      </c>
    </row>
    <row r="86" customFormat="false" ht="15" hidden="false" customHeight="false" outlineLevel="0" collapsed="false">
      <c r="A86" s="19" t="n">
        <v>3</v>
      </c>
      <c r="B86" s="20" t="n">
        <v>100</v>
      </c>
      <c r="C86" s="20" t="s">
        <v>310</v>
      </c>
      <c r="D86" s="20" t="s">
        <v>211</v>
      </c>
      <c r="E86" s="20" t="n">
        <v>36000</v>
      </c>
      <c r="F86" s="21" t="n">
        <v>72000</v>
      </c>
      <c r="G86" s="0" t="n">
        <f aca="false">IF(D86="Mono&amp;Dual",MIN(E86,F86)*2,MIN(E86,F86))</f>
        <v>72000</v>
      </c>
    </row>
    <row r="87" customFormat="false" ht="15" hidden="false" customHeight="false" outlineLevel="0" collapsed="false">
      <c r="A87" s="16" t="n">
        <v>3</v>
      </c>
      <c r="B87" s="17" t="n">
        <v>100</v>
      </c>
      <c r="C87" s="17" t="s">
        <v>311</v>
      </c>
      <c r="D87" s="17" t="s">
        <v>211</v>
      </c>
      <c r="E87" s="17" t="n">
        <v>37000</v>
      </c>
      <c r="F87" s="18" t="n">
        <v>74000</v>
      </c>
      <c r="G87" s="0" t="n">
        <f aca="false">IF(D87="Mono&amp;Dual",MIN(E87,F87)*2,MIN(E87,F87))</f>
        <v>74000</v>
      </c>
    </row>
    <row r="88" customFormat="false" ht="15" hidden="false" customHeight="false" outlineLevel="0" collapsed="false">
      <c r="A88" s="19" t="n">
        <v>3</v>
      </c>
      <c r="B88" s="20" t="n">
        <v>100</v>
      </c>
      <c r="C88" s="20" t="s">
        <v>312</v>
      </c>
      <c r="D88" s="20" t="s">
        <v>211</v>
      </c>
      <c r="E88" s="20" t="n">
        <v>38000</v>
      </c>
      <c r="F88" s="21" t="n">
        <v>76000</v>
      </c>
      <c r="G88" s="0" t="n">
        <f aca="false">IF(D88="Mono&amp;Dual",MIN(E88,F88)*2,MIN(E88,F88))</f>
        <v>76000</v>
      </c>
    </row>
    <row r="89" customFormat="false" ht="15" hidden="false" customHeight="false" outlineLevel="0" collapsed="false">
      <c r="A89" s="16" t="n">
        <v>3</v>
      </c>
      <c r="B89" s="17" t="n">
        <v>100</v>
      </c>
      <c r="C89" s="17" t="s">
        <v>313</v>
      </c>
      <c r="D89" s="17" t="s">
        <v>211</v>
      </c>
      <c r="E89" s="17" t="n">
        <v>39000</v>
      </c>
      <c r="F89" s="18" t="n">
        <v>78000</v>
      </c>
      <c r="G89" s="0" t="n">
        <f aca="false">IF(D89="Mono&amp;Dual",MIN(E89,F89)*2,MIN(E89,F89))</f>
        <v>78000</v>
      </c>
    </row>
    <row r="90" customFormat="false" ht="15" hidden="false" customHeight="false" outlineLevel="0" collapsed="false">
      <c r="A90" s="19" t="n">
        <v>3</v>
      </c>
      <c r="B90" s="20" t="n">
        <v>100</v>
      </c>
      <c r="C90" s="20" t="s">
        <v>314</v>
      </c>
      <c r="D90" s="20" t="s">
        <v>211</v>
      </c>
      <c r="E90" s="20" t="n">
        <v>40000</v>
      </c>
      <c r="F90" s="21" t="n">
        <v>80000</v>
      </c>
      <c r="G90" s="0" t="n">
        <f aca="false">IF(D90="Mono&amp;Dual",MIN(E90,F90)*2,MIN(E90,F90))</f>
        <v>80000</v>
      </c>
    </row>
    <row r="91" customFormat="false" ht="15" hidden="false" customHeight="false" outlineLevel="0" collapsed="false">
      <c r="A91" s="16" t="n">
        <v>3</v>
      </c>
      <c r="B91" s="17" t="n">
        <v>100</v>
      </c>
      <c r="C91" s="17" t="s">
        <v>215</v>
      </c>
      <c r="D91" s="17" t="s">
        <v>211</v>
      </c>
      <c r="E91" s="17" t="n">
        <v>1000</v>
      </c>
      <c r="F91" s="18" t="n">
        <v>2000</v>
      </c>
      <c r="G91" s="0" t="n">
        <f aca="false">IF(D91="Mono&amp;Dual",MIN(E91,F91)*2,MIN(E91,F91))</f>
        <v>2000</v>
      </c>
    </row>
    <row r="92" customFormat="false" ht="15" hidden="false" customHeight="false" outlineLevel="0" collapsed="false">
      <c r="A92" s="19" t="n">
        <v>3</v>
      </c>
      <c r="B92" s="20" t="n">
        <v>100</v>
      </c>
      <c r="C92" s="20" t="s">
        <v>216</v>
      </c>
      <c r="D92" s="20" t="s">
        <v>211</v>
      </c>
      <c r="E92" s="20" t="n">
        <v>2000</v>
      </c>
      <c r="F92" s="21" t="n">
        <v>4000</v>
      </c>
      <c r="G92" s="0" t="n">
        <f aca="false">IF(D92="Mono&amp;Dual",MIN(E92,F92)*2,MIN(E92,F92))</f>
        <v>4000</v>
      </c>
    </row>
    <row r="93" customFormat="false" ht="15" hidden="false" customHeight="false" outlineLevel="0" collapsed="false">
      <c r="A93" s="16" t="n">
        <v>3</v>
      </c>
      <c r="B93" s="17" t="n">
        <v>100</v>
      </c>
      <c r="C93" s="17" t="s">
        <v>223</v>
      </c>
      <c r="D93" s="17" t="s">
        <v>211</v>
      </c>
      <c r="E93" s="17" t="n">
        <v>3000</v>
      </c>
      <c r="F93" s="18" t="n">
        <v>6000</v>
      </c>
      <c r="G93" s="0" t="n">
        <f aca="false">IF(D93="Mono&amp;Dual",MIN(E93,F93)*2,MIN(E93,F93))</f>
        <v>6000</v>
      </c>
    </row>
    <row r="94" customFormat="false" ht="15" hidden="false" customHeight="false" outlineLevel="0" collapsed="false">
      <c r="A94" s="19" t="n">
        <v>3</v>
      </c>
      <c r="B94" s="20" t="n">
        <v>100</v>
      </c>
      <c r="C94" s="20" t="s">
        <v>224</v>
      </c>
      <c r="D94" s="20" t="s">
        <v>211</v>
      </c>
      <c r="E94" s="20" t="n">
        <v>4000</v>
      </c>
      <c r="F94" s="21" t="n">
        <v>8000</v>
      </c>
      <c r="G94" s="0" t="n">
        <f aca="false">IF(D94="Mono&amp;Dual",MIN(E94,F94)*2,MIN(E94,F94))</f>
        <v>8000</v>
      </c>
    </row>
    <row r="95" customFormat="false" ht="15" hidden="false" customHeight="false" outlineLevel="0" collapsed="false">
      <c r="A95" s="16" t="n">
        <v>3</v>
      </c>
      <c r="B95" s="17" t="n">
        <v>100</v>
      </c>
      <c r="C95" s="17" t="s">
        <v>231</v>
      </c>
      <c r="D95" s="17" t="s">
        <v>211</v>
      </c>
      <c r="E95" s="17" t="n">
        <v>5000</v>
      </c>
      <c r="F95" s="18" t="n">
        <v>10000</v>
      </c>
      <c r="G95" s="0" t="n">
        <f aca="false">IF(D95="Mono&amp;Dual",MIN(E95,F95)*2,MIN(E95,F95))</f>
        <v>10000</v>
      </c>
    </row>
    <row r="96" customFormat="false" ht="15" hidden="false" customHeight="false" outlineLevel="0" collapsed="false">
      <c r="A96" s="19" t="n">
        <v>3</v>
      </c>
      <c r="B96" s="20" t="n">
        <v>100</v>
      </c>
      <c r="C96" s="20" t="s">
        <v>232</v>
      </c>
      <c r="D96" s="20" t="s">
        <v>211</v>
      </c>
      <c r="E96" s="20" t="n">
        <v>6000</v>
      </c>
      <c r="F96" s="21" t="n">
        <v>12000</v>
      </c>
      <c r="G96" s="0" t="n">
        <f aca="false">IF(D96="Mono&amp;Dual",MIN(E96,F96)*2,MIN(E96,F96))</f>
        <v>12000</v>
      </c>
    </row>
    <row r="97" customFormat="false" ht="15" hidden="false" customHeight="false" outlineLevel="0" collapsed="false">
      <c r="A97" s="16" t="n">
        <v>3</v>
      </c>
      <c r="B97" s="17" t="n">
        <v>100</v>
      </c>
      <c r="C97" s="17" t="s">
        <v>233</v>
      </c>
      <c r="D97" s="17" t="s">
        <v>211</v>
      </c>
      <c r="E97" s="17" t="n">
        <v>7000</v>
      </c>
      <c r="F97" s="18" t="n">
        <v>14000</v>
      </c>
      <c r="G97" s="0" t="n">
        <f aca="false">IF(D97="Mono&amp;Dual",MIN(E97,F97)*2,MIN(E97,F97))</f>
        <v>14000</v>
      </c>
    </row>
    <row r="98" customFormat="false" ht="15" hidden="false" customHeight="false" outlineLevel="0" collapsed="false">
      <c r="A98" s="19" t="n">
        <v>3</v>
      </c>
      <c r="B98" s="20" t="n">
        <v>100</v>
      </c>
      <c r="C98" s="20" t="s">
        <v>234</v>
      </c>
      <c r="D98" s="20" t="s">
        <v>211</v>
      </c>
      <c r="E98" s="20" t="n">
        <v>8000</v>
      </c>
      <c r="F98" s="21" t="n">
        <v>16000</v>
      </c>
      <c r="G98" s="0" t="n">
        <f aca="false">IF(D98="Mono&amp;Dual",MIN(E98,F98)*2,MIN(E98,F98))</f>
        <v>16000</v>
      </c>
    </row>
    <row r="99" customFormat="false" ht="15" hidden="false" customHeight="false" outlineLevel="0" collapsed="false">
      <c r="A99" s="16" t="n">
        <v>3</v>
      </c>
      <c r="B99" s="17" t="n">
        <v>100</v>
      </c>
      <c r="C99" s="17" t="s">
        <v>235</v>
      </c>
      <c r="D99" s="17" t="s">
        <v>211</v>
      </c>
      <c r="E99" s="17" t="n">
        <v>9000</v>
      </c>
      <c r="F99" s="18" t="n">
        <v>18000</v>
      </c>
      <c r="G99" s="0" t="n">
        <f aca="false">IF(D99="Mono&amp;Dual",MIN(E99,F99)*2,MIN(E99,F99))</f>
        <v>18000</v>
      </c>
    </row>
    <row r="100" customFormat="false" ht="15" hidden="false" customHeight="false" outlineLevel="0" collapsed="false">
      <c r="A100" s="19" t="n">
        <v>3</v>
      </c>
      <c r="B100" s="20" t="n">
        <v>100</v>
      </c>
      <c r="C100" s="20" t="s">
        <v>236</v>
      </c>
      <c r="D100" s="20" t="s">
        <v>211</v>
      </c>
      <c r="E100" s="20" t="n">
        <v>10000</v>
      </c>
      <c r="F100" s="21" t="n">
        <v>20000</v>
      </c>
      <c r="G100" s="0" t="n">
        <f aca="false">IF(D100="Mono&amp;Dual",MIN(E100,F100)*2,MIN(E100,F100))</f>
        <v>20000</v>
      </c>
    </row>
    <row r="101" customFormat="false" ht="15" hidden="false" customHeight="false" outlineLevel="0" collapsed="false">
      <c r="A101" s="16" t="n">
        <v>3</v>
      </c>
      <c r="B101" s="17" t="n">
        <v>100</v>
      </c>
      <c r="C101" s="17" t="s">
        <v>237</v>
      </c>
      <c r="D101" s="17" t="s">
        <v>211</v>
      </c>
      <c r="E101" s="17" t="n">
        <v>11000</v>
      </c>
      <c r="F101" s="18" t="n">
        <v>22000</v>
      </c>
      <c r="G101" s="0" t="n">
        <f aca="false">IF(D101="Mono&amp;Dual",MIN(E101,F101)*2,MIN(E101,F101))</f>
        <v>22000</v>
      </c>
    </row>
    <row r="102" customFormat="false" ht="15" hidden="false" customHeight="false" outlineLevel="0" collapsed="false">
      <c r="A102" s="19" t="n">
        <v>3</v>
      </c>
      <c r="B102" s="20" t="n">
        <v>100</v>
      </c>
      <c r="C102" s="20" t="s">
        <v>238</v>
      </c>
      <c r="D102" s="20" t="s">
        <v>211</v>
      </c>
      <c r="E102" s="20" t="n">
        <v>12000</v>
      </c>
      <c r="F102" s="21" t="n">
        <v>24000</v>
      </c>
      <c r="G102" s="0" t="n">
        <f aca="false">IF(D102="Mono&amp;Dual",MIN(E102,F102)*2,MIN(E102,F102))</f>
        <v>24000</v>
      </c>
    </row>
    <row r="103" customFormat="false" ht="15" hidden="false" customHeight="false" outlineLevel="0" collapsed="false">
      <c r="A103" s="16" t="n">
        <v>3</v>
      </c>
      <c r="B103" s="17" t="n">
        <v>100</v>
      </c>
      <c r="C103" s="17" t="s">
        <v>239</v>
      </c>
      <c r="D103" s="17" t="s">
        <v>211</v>
      </c>
      <c r="E103" s="17" t="n">
        <v>13000</v>
      </c>
      <c r="F103" s="18" t="n">
        <v>26000</v>
      </c>
      <c r="G103" s="0" t="n">
        <f aca="false">IF(D103="Mono&amp;Dual",MIN(E103,F103)*2,MIN(E103,F103))</f>
        <v>26000</v>
      </c>
    </row>
    <row r="104" customFormat="false" ht="15" hidden="false" customHeight="false" outlineLevel="0" collapsed="false">
      <c r="A104" s="19" t="n">
        <v>3</v>
      </c>
      <c r="B104" s="20" t="n">
        <v>100</v>
      </c>
      <c r="C104" s="20" t="s">
        <v>240</v>
      </c>
      <c r="D104" s="20" t="s">
        <v>211</v>
      </c>
      <c r="E104" s="20" t="n">
        <v>14000</v>
      </c>
      <c r="F104" s="21" t="n">
        <v>28000</v>
      </c>
      <c r="G104" s="0" t="n">
        <f aca="false">IF(D104="Mono&amp;Dual",MIN(E104,F104)*2,MIN(E104,F104))</f>
        <v>28000</v>
      </c>
    </row>
    <row r="105" customFormat="false" ht="15" hidden="false" customHeight="false" outlineLevel="0" collapsed="false">
      <c r="A105" s="16" t="n">
        <v>3</v>
      </c>
      <c r="B105" s="17" t="n">
        <v>100</v>
      </c>
      <c r="C105" s="17" t="s">
        <v>241</v>
      </c>
      <c r="D105" s="17" t="s">
        <v>211</v>
      </c>
      <c r="E105" s="17" t="n">
        <v>15000</v>
      </c>
      <c r="F105" s="18" t="n">
        <v>30000</v>
      </c>
      <c r="G105" s="0" t="n">
        <f aca="false">IF(D105="Mono&amp;Dual",MIN(E105,F105)*2,MIN(E105,F105))</f>
        <v>30000</v>
      </c>
    </row>
    <row r="106" customFormat="false" ht="15" hidden="false" customHeight="false" outlineLevel="0" collapsed="false">
      <c r="A106" s="19" t="n">
        <v>3</v>
      </c>
      <c r="B106" s="20" t="n">
        <v>100</v>
      </c>
      <c r="C106" s="20" t="s">
        <v>242</v>
      </c>
      <c r="D106" s="20" t="s">
        <v>211</v>
      </c>
      <c r="E106" s="20" t="n">
        <v>16000</v>
      </c>
      <c r="F106" s="21" t="n">
        <v>32000</v>
      </c>
      <c r="G106" s="0" t="n">
        <f aca="false">IF(D106="Mono&amp;Dual",MIN(E106,F106)*2,MIN(E106,F106))</f>
        <v>32000</v>
      </c>
    </row>
    <row r="107" customFormat="false" ht="15" hidden="false" customHeight="false" outlineLevel="0" collapsed="false">
      <c r="A107" s="16" t="n">
        <v>3</v>
      </c>
      <c r="B107" s="17" t="n">
        <v>100</v>
      </c>
      <c r="C107" s="17" t="s">
        <v>243</v>
      </c>
      <c r="D107" s="17" t="s">
        <v>211</v>
      </c>
      <c r="E107" s="17" t="n">
        <v>17000</v>
      </c>
      <c r="F107" s="18" t="n">
        <v>34000</v>
      </c>
      <c r="G107" s="0" t="n">
        <f aca="false">IF(D107="Mono&amp;Dual",MIN(E107,F107)*2,MIN(E107,F107))</f>
        <v>34000</v>
      </c>
    </row>
    <row r="108" customFormat="false" ht="15" hidden="false" customHeight="false" outlineLevel="0" collapsed="false">
      <c r="A108" s="19" t="n">
        <v>3</v>
      </c>
      <c r="B108" s="20" t="n">
        <v>100</v>
      </c>
      <c r="C108" s="20" t="s">
        <v>244</v>
      </c>
      <c r="D108" s="20" t="s">
        <v>211</v>
      </c>
      <c r="E108" s="20" t="n">
        <v>18000</v>
      </c>
      <c r="F108" s="21" t="n">
        <v>36000</v>
      </c>
      <c r="G108" s="0" t="n">
        <f aca="false">IF(D108="Mono&amp;Dual",MIN(E108,F108)*2,MIN(E108,F108))</f>
        <v>36000</v>
      </c>
    </row>
    <row r="109" customFormat="false" ht="15" hidden="false" customHeight="false" outlineLevel="0" collapsed="false">
      <c r="A109" s="16" t="n">
        <v>3</v>
      </c>
      <c r="B109" s="17" t="n">
        <v>100</v>
      </c>
      <c r="C109" s="17" t="s">
        <v>245</v>
      </c>
      <c r="D109" s="17" t="s">
        <v>211</v>
      </c>
      <c r="E109" s="17" t="n">
        <v>19000</v>
      </c>
      <c r="F109" s="18" t="n">
        <v>38000</v>
      </c>
      <c r="G109" s="0" t="n">
        <f aca="false">IF(D109="Mono&amp;Dual",MIN(E109,F109)*2,MIN(E109,F109))</f>
        <v>38000</v>
      </c>
    </row>
    <row r="110" customFormat="false" ht="15" hidden="false" customHeight="false" outlineLevel="0" collapsed="false">
      <c r="A110" s="19" t="n">
        <v>3</v>
      </c>
      <c r="B110" s="20" t="n">
        <v>100</v>
      </c>
      <c r="C110" s="20" t="s">
        <v>246</v>
      </c>
      <c r="D110" s="20" t="s">
        <v>211</v>
      </c>
      <c r="E110" s="20" t="n">
        <v>20000</v>
      </c>
      <c r="F110" s="21" t="n">
        <v>40000</v>
      </c>
      <c r="G110" s="0" t="n">
        <f aca="false">IF(D110="Mono&amp;Dual",MIN(E110,F110)*2,MIN(E110,F110))</f>
        <v>40000</v>
      </c>
    </row>
    <row r="111" customFormat="false" ht="15" hidden="false" customHeight="false" outlineLevel="0" collapsed="false">
      <c r="A111" s="16" t="n">
        <v>3</v>
      </c>
      <c r="B111" s="17" t="n">
        <v>100</v>
      </c>
      <c r="C111" s="17" t="s">
        <v>217</v>
      </c>
      <c r="D111" s="17" t="s">
        <v>36</v>
      </c>
      <c r="E111" s="17"/>
      <c r="F111" s="18" t="n">
        <v>84000</v>
      </c>
      <c r="G111" s="0" t="n">
        <f aca="false">IF(D111="Mono&amp;Dual",MIN(E111,F111)*2,MIN(E111,F111))</f>
        <v>84000</v>
      </c>
    </row>
    <row r="112" customFormat="false" ht="15" hidden="false" customHeight="false" outlineLevel="0" collapsed="false">
      <c r="A112" s="19" t="n">
        <v>3</v>
      </c>
      <c r="B112" s="20" t="n">
        <v>100</v>
      </c>
      <c r="C112" s="20" t="s">
        <v>218</v>
      </c>
      <c r="D112" s="20" t="s">
        <v>36</v>
      </c>
      <c r="E112" s="20"/>
      <c r="F112" s="21" t="n">
        <v>88000</v>
      </c>
      <c r="G112" s="0" t="n">
        <f aca="false">IF(D112="Mono&amp;Dual",MIN(E112,F112)*2,MIN(E112,F112))</f>
        <v>88000</v>
      </c>
    </row>
    <row r="113" customFormat="false" ht="15" hidden="false" customHeight="false" outlineLevel="0" collapsed="false">
      <c r="A113" s="16" t="n">
        <v>3</v>
      </c>
      <c r="B113" s="17" t="n">
        <v>100</v>
      </c>
      <c r="C113" s="17" t="s">
        <v>219</v>
      </c>
      <c r="D113" s="17" t="s">
        <v>36</v>
      </c>
      <c r="E113" s="17"/>
      <c r="F113" s="18" t="n">
        <v>92000</v>
      </c>
      <c r="G113" s="0" t="n">
        <f aca="false">IF(D113="Mono&amp;Dual",MIN(E113,F113)*2,MIN(E113,F113))</f>
        <v>92000</v>
      </c>
    </row>
    <row r="114" customFormat="false" ht="15" hidden="false" customHeight="false" outlineLevel="0" collapsed="false">
      <c r="A114" s="19" t="n">
        <v>3</v>
      </c>
      <c r="B114" s="20" t="n">
        <v>100</v>
      </c>
      <c r="C114" s="20" t="s">
        <v>220</v>
      </c>
      <c r="D114" s="20" t="s">
        <v>36</v>
      </c>
      <c r="E114" s="20"/>
      <c r="F114" s="21" t="n">
        <v>96000</v>
      </c>
      <c r="G114" s="0" t="n">
        <f aca="false">IF(D114="Mono&amp;Dual",MIN(E114,F114)*2,MIN(E114,F114))</f>
        <v>96000</v>
      </c>
    </row>
    <row r="115" customFormat="false" ht="15" hidden="false" customHeight="false" outlineLevel="0" collapsed="false">
      <c r="A115" s="16" t="n">
        <v>3</v>
      </c>
      <c r="B115" s="17" t="n">
        <v>100</v>
      </c>
      <c r="C115" s="17" t="s">
        <v>221</v>
      </c>
      <c r="D115" s="17" t="s">
        <v>36</v>
      </c>
      <c r="E115" s="17"/>
      <c r="F115" s="18" t="n">
        <v>100000</v>
      </c>
      <c r="G115" s="0" t="n">
        <f aca="false">IF(D115="Mono&amp;Dual",MIN(E115,F115)*2,MIN(E115,F115))</f>
        <v>100000</v>
      </c>
    </row>
    <row r="116" customFormat="false" ht="15" hidden="false" customHeight="false" outlineLevel="0" collapsed="false">
      <c r="A116" s="19" t="n">
        <v>3</v>
      </c>
      <c r="B116" s="20" t="n">
        <v>100</v>
      </c>
      <c r="C116" s="20" t="s">
        <v>222</v>
      </c>
      <c r="D116" s="20" t="s">
        <v>36</v>
      </c>
      <c r="E116" s="20"/>
      <c r="F116" s="21" t="n">
        <v>104000</v>
      </c>
      <c r="G116" s="0" t="n">
        <f aca="false">IF(D116="Mono&amp;Dual",MIN(E116,F116)*2,MIN(E116,F116))</f>
        <v>104000</v>
      </c>
    </row>
    <row r="117" customFormat="false" ht="15" hidden="false" customHeight="false" outlineLevel="0" collapsed="false">
      <c r="A117" s="16" t="n">
        <v>3</v>
      </c>
      <c r="B117" s="17" t="n">
        <v>100</v>
      </c>
      <c r="C117" s="17" t="s">
        <v>225</v>
      </c>
      <c r="D117" s="17" t="s">
        <v>36</v>
      </c>
      <c r="E117" s="17"/>
      <c r="F117" s="18" t="n">
        <v>108000</v>
      </c>
      <c r="G117" s="0" t="n">
        <f aca="false">IF(D117="Mono&amp;Dual",MIN(E117,F117)*2,MIN(E117,F117))</f>
        <v>108000</v>
      </c>
    </row>
    <row r="118" customFormat="false" ht="15" hidden="false" customHeight="false" outlineLevel="0" collapsed="false">
      <c r="A118" s="19" t="n">
        <v>3</v>
      </c>
      <c r="B118" s="20" t="n">
        <v>100</v>
      </c>
      <c r="C118" s="20" t="s">
        <v>226</v>
      </c>
      <c r="D118" s="20" t="s">
        <v>36</v>
      </c>
      <c r="E118" s="20"/>
      <c r="F118" s="21" t="n">
        <v>112000</v>
      </c>
      <c r="G118" s="0" t="n">
        <f aca="false">IF(D118="Mono&amp;Dual",MIN(E118,F118)*2,MIN(E118,F118))</f>
        <v>112000</v>
      </c>
    </row>
    <row r="119" customFormat="false" ht="15" hidden="false" customHeight="false" outlineLevel="0" collapsed="false">
      <c r="A119" s="16" t="n">
        <v>3</v>
      </c>
      <c r="B119" s="17" t="n">
        <v>100</v>
      </c>
      <c r="C119" s="17" t="s">
        <v>227</v>
      </c>
      <c r="D119" s="17" t="s">
        <v>36</v>
      </c>
      <c r="E119" s="17"/>
      <c r="F119" s="18" t="n">
        <v>116000</v>
      </c>
      <c r="G119" s="0" t="n">
        <f aca="false">IF(D119="Mono&amp;Dual",MIN(E119,F119)*2,MIN(E119,F119))</f>
        <v>116000</v>
      </c>
    </row>
    <row r="120" customFormat="false" ht="15" hidden="false" customHeight="false" outlineLevel="0" collapsed="false">
      <c r="A120" s="19" t="n">
        <v>3</v>
      </c>
      <c r="B120" s="20" t="n">
        <v>100</v>
      </c>
      <c r="C120" s="20" t="s">
        <v>228</v>
      </c>
      <c r="D120" s="20" t="s">
        <v>36</v>
      </c>
      <c r="E120" s="20"/>
      <c r="F120" s="21" t="n">
        <v>120000</v>
      </c>
      <c r="G120" s="0" t="n">
        <f aca="false">IF(D120="Mono&amp;Dual",MIN(E120,F120)*2,MIN(E120,F120))</f>
        <v>120000</v>
      </c>
    </row>
    <row r="121" customFormat="false" ht="15" hidden="false" customHeight="false" outlineLevel="0" collapsed="false">
      <c r="A121" s="16" t="n">
        <v>3</v>
      </c>
      <c r="B121" s="17" t="n">
        <v>100</v>
      </c>
      <c r="C121" s="17" t="s">
        <v>229</v>
      </c>
      <c r="D121" s="17" t="s">
        <v>36</v>
      </c>
      <c r="E121" s="17"/>
      <c r="F121" s="18" t="n">
        <v>124000</v>
      </c>
      <c r="G121" s="0" t="n">
        <f aca="false">IF(D121="Mono&amp;Dual",MIN(E121,F121)*2,MIN(E121,F121))</f>
        <v>124000</v>
      </c>
    </row>
    <row r="122" customFormat="false" ht="15" hidden="false" customHeight="false" outlineLevel="0" collapsed="false">
      <c r="A122" s="19" t="n">
        <v>3</v>
      </c>
      <c r="B122" s="20" t="n">
        <v>100</v>
      </c>
      <c r="C122" s="20" t="s">
        <v>230</v>
      </c>
      <c r="D122" s="20" t="s">
        <v>36</v>
      </c>
      <c r="E122" s="20"/>
      <c r="F122" s="21" t="n">
        <v>128000</v>
      </c>
      <c r="G122" s="0" t="n">
        <f aca="false">IF(D122="Mono&amp;Dual",MIN(E122,F122)*2,MIN(E122,F122))</f>
        <v>128000</v>
      </c>
    </row>
    <row r="123" customFormat="false" ht="15" hidden="false" customHeight="false" outlineLevel="0" collapsed="false">
      <c r="A123" s="16" t="n">
        <v>3</v>
      </c>
      <c r="B123" s="17" t="n">
        <v>100</v>
      </c>
      <c r="C123" s="17" t="s">
        <v>247</v>
      </c>
      <c r="D123" s="17" t="s">
        <v>36</v>
      </c>
      <c r="E123" s="17"/>
      <c r="F123" s="18" t="n">
        <v>132000</v>
      </c>
      <c r="G123" s="0" t="n">
        <f aca="false">IF(D123="Mono&amp;Dual",MIN(E123,F123)*2,MIN(E123,F123))</f>
        <v>132000</v>
      </c>
    </row>
    <row r="124" customFormat="false" ht="15" hidden="false" customHeight="false" outlineLevel="0" collapsed="false">
      <c r="A124" s="19" t="n">
        <v>3</v>
      </c>
      <c r="B124" s="20" t="n">
        <v>100</v>
      </c>
      <c r="C124" s="20" t="s">
        <v>248</v>
      </c>
      <c r="D124" s="20" t="s">
        <v>36</v>
      </c>
      <c r="E124" s="20"/>
      <c r="F124" s="21" t="n">
        <v>134000</v>
      </c>
      <c r="G124" s="0" t="n">
        <f aca="false">IF(D124="Mono&amp;Dual",MIN(E124,F124)*2,MIN(E124,F124))</f>
        <v>134000</v>
      </c>
    </row>
    <row r="125" customFormat="false" ht="15" hidden="false" customHeight="false" outlineLevel="0" collapsed="false">
      <c r="A125" s="16" t="n">
        <v>3</v>
      </c>
      <c r="B125" s="17" t="n">
        <v>100</v>
      </c>
      <c r="C125" s="17" t="s">
        <v>249</v>
      </c>
      <c r="D125" s="17" t="s">
        <v>36</v>
      </c>
      <c r="E125" s="17"/>
      <c r="F125" s="18" t="n">
        <v>136000</v>
      </c>
      <c r="G125" s="0" t="n">
        <f aca="false">IF(D125="Mono&amp;Dual",MIN(E125,F125)*2,MIN(E125,F125))</f>
        <v>136000</v>
      </c>
    </row>
    <row r="126" customFormat="false" ht="15" hidden="false" customHeight="false" outlineLevel="0" collapsed="false">
      <c r="A126" s="19" t="n">
        <v>3</v>
      </c>
      <c r="B126" s="20" t="n">
        <v>100</v>
      </c>
      <c r="C126" s="20" t="s">
        <v>250</v>
      </c>
      <c r="D126" s="20" t="s">
        <v>36</v>
      </c>
      <c r="E126" s="20"/>
      <c r="F126" s="21" t="n">
        <v>138000</v>
      </c>
      <c r="G126" s="0" t="n">
        <f aca="false">IF(D126="Mono&amp;Dual",MIN(E126,F126)*2,MIN(E126,F126))</f>
        <v>138000</v>
      </c>
    </row>
    <row r="127" customFormat="false" ht="15" hidden="false" customHeight="false" outlineLevel="0" collapsed="false">
      <c r="A127" s="16" t="n">
        <v>3</v>
      </c>
      <c r="B127" s="17" t="n">
        <v>100</v>
      </c>
      <c r="C127" s="17" t="s">
        <v>251</v>
      </c>
      <c r="D127" s="17" t="s">
        <v>36</v>
      </c>
      <c r="E127" s="17"/>
      <c r="F127" s="18" t="n">
        <v>140000</v>
      </c>
      <c r="G127" s="0" t="n">
        <f aca="false">IF(D127="Mono&amp;Dual",MIN(E127,F127)*2,MIN(E127,F127))</f>
        <v>140000</v>
      </c>
    </row>
    <row r="128" customFormat="false" ht="15" hidden="false" customHeight="false" outlineLevel="0" collapsed="false">
      <c r="A128" s="19" t="n">
        <v>3</v>
      </c>
      <c r="B128" s="20" t="n">
        <v>100</v>
      </c>
      <c r="C128" s="20" t="s">
        <v>252</v>
      </c>
      <c r="D128" s="20" t="s">
        <v>36</v>
      </c>
      <c r="E128" s="20"/>
      <c r="F128" s="21" t="n">
        <v>142000</v>
      </c>
      <c r="G128" s="0" t="n">
        <f aca="false">IF(D128="Mono&amp;Dual",MIN(E128,F128)*2,MIN(E128,F128))</f>
        <v>142000</v>
      </c>
    </row>
    <row r="129" customFormat="false" ht="15" hidden="false" customHeight="false" outlineLevel="0" collapsed="false">
      <c r="A129" s="16" t="n">
        <v>3</v>
      </c>
      <c r="B129" s="17" t="n">
        <v>100</v>
      </c>
      <c r="C129" s="17" t="s">
        <v>253</v>
      </c>
      <c r="D129" s="17" t="s">
        <v>36</v>
      </c>
      <c r="E129" s="17"/>
      <c r="F129" s="18" t="n">
        <v>144000</v>
      </c>
      <c r="G129" s="0" t="n">
        <f aca="false">IF(D129="Mono&amp;Dual",MIN(E129,F129)*2,MIN(E129,F129))</f>
        <v>144000</v>
      </c>
    </row>
    <row r="130" customFormat="false" ht="15" hidden="false" customHeight="false" outlineLevel="0" collapsed="false">
      <c r="A130" s="19" t="n">
        <v>3</v>
      </c>
      <c r="B130" s="20" t="n">
        <v>100</v>
      </c>
      <c r="C130" s="20" t="s">
        <v>254</v>
      </c>
      <c r="D130" s="20" t="s">
        <v>36</v>
      </c>
      <c r="E130" s="20"/>
      <c r="F130" s="21" t="n">
        <v>146000</v>
      </c>
      <c r="G130" s="0" t="n">
        <f aca="false">IF(D130="Mono&amp;Dual",MIN(E130,F130)*2,MIN(E130,F130))</f>
        <v>146000</v>
      </c>
    </row>
    <row r="131" customFormat="false" ht="15" hidden="false" customHeight="false" outlineLevel="0" collapsed="false">
      <c r="G131" s="0" t="n">
        <f aca="false">IF(D131="Mono&amp;Dual",MIN(E131,F131)*2,MIN(E131,F131))</f>
        <v>0</v>
      </c>
    </row>
    <row r="132" customFormat="false" ht="15" hidden="false" customHeight="false" outlineLevel="0" collapsed="false">
      <c r="G132" s="0" t="n">
        <f aca="false">IF(D132="Mono&amp;Dual",MIN(E132,F132)*2,MIN(E132,F132))</f>
        <v>0</v>
      </c>
    </row>
    <row r="133" customFormat="false" ht="15" hidden="false" customHeight="false" outlineLevel="0" collapsed="false">
      <c r="G133" s="0" t="n">
        <f aca="false">IF(D133="Mono&amp;Dual",MIN(E133,F133)*2,MIN(E133,F133))</f>
        <v>0</v>
      </c>
    </row>
    <row r="134" customFormat="false" ht="15" hidden="false" customHeight="false" outlineLevel="0" collapsed="false">
      <c r="G134" s="0" t="n">
        <f aca="false">IF(D134="Mono&amp;Dual",MIN(E134,F134)*2,MIN(E134,F134))</f>
        <v>0</v>
      </c>
    </row>
    <row r="135" customFormat="false" ht="15" hidden="false" customHeight="false" outlineLevel="0" collapsed="false">
      <c r="G135" s="0" t="n">
        <f aca="false">IF(D135="Mono&amp;Dual",MIN(E135,F135)*2,MIN(E135,F135))</f>
        <v>0</v>
      </c>
    </row>
    <row r="136" customFormat="false" ht="15" hidden="false" customHeight="false" outlineLevel="0" collapsed="false">
      <c r="G136" s="0" t="n">
        <f aca="false">IF(D136="Mono&amp;Dual",MIN(E136,F136)*2,MIN(E136,F136))</f>
        <v>0</v>
      </c>
    </row>
    <row r="137" customFormat="false" ht="15" hidden="false" customHeight="false" outlineLevel="0" collapsed="false">
      <c r="G137" s="0" t="n">
        <f aca="false">IF(D137="Mono&amp;Dual",MIN(E137,F137)*2,MIN(E137,F137))</f>
        <v>0</v>
      </c>
    </row>
    <row r="138" customFormat="false" ht="15" hidden="false" customHeight="false" outlineLevel="0" collapsed="false">
      <c r="G138" s="0" t="n">
        <f aca="false">IF(D138="Mono&amp;Dual",MIN(E138,F138)*2,MIN(E138,F138))</f>
        <v>0</v>
      </c>
    </row>
    <row r="139" customFormat="false" ht="15" hidden="false" customHeight="false" outlineLevel="0" collapsed="false">
      <c r="G139" s="0" t="n">
        <f aca="false">IF(D139="Mono&amp;Dual",MIN(E139,F139)*2,MIN(E139,F139))</f>
        <v>0</v>
      </c>
    </row>
    <row r="140" customFormat="false" ht="15" hidden="false" customHeight="false" outlineLevel="0" collapsed="false">
      <c r="G140" s="0" t="n">
        <f aca="false">IF(D140="Mono&amp;Dual",MIN(E140,F140)*2,MIN(E140,F140))</f>
        <v>0</v>
      </c>
    </row>
    <row r="141" customFormat="false" ht="15" hidden="false" customHeight="false" outlineLevel="0" collapsed="false">
      <c r="G141" s="0" t="n">
        <f aca="false">IF(D141="Mono&amp;Dual",MIN(E141,F141)*2,MIN(E141,F141))</f>
        <v>0</v>
      </c>
    </row>
    <row r="142" customFormat="false" ht="15" hidden="false" customHeight="false" outlineLevel="0" collapsed="false">
      <c r="G142" s="0" t="n">
        <f aca="false">IF(D142="Mono&amp;Dual",MIN(E142,F142)*2,MIN(E142,F142))</f>
        <v>0</v>
      </c>
    </row>
    <row r="143" customFormat="false" ht="15" hidden="false" customHeight="false" outlineLevel="0" collapsed="false">
      <c r="G143" s="0" t="n">
        <f aca="false">IF(D143="Mono&amp;Dual",MIN(E143,F143)*2,MIN(E143,F143))</f>
        <v>0</v>
      </c>
    </row>
    <row r="144" customFormat="false" ht="15" hidden="false" customHeight="false" outlineLevel="0" collapsed="false">
      <c r="G144" s="0" t="n">
        <f aca="false">IF(D144="Mono&amp;Dual",MIN(E144,F144)*2,MIN(E144,F144))</f>
        <v>0</v>
      </c>
    </row>
    <row r="145" customFormat="false" ht="15" hidden="false" customHeight="false" outlineLevel="0" collapsed="false">
      <c r="G145" s="0" t="n">
        <f aca="false">IF(D145="Mono&amp;Dual",MIN(E145,F145)*2,MIN(E145,F145))</f>
        <v>0</v>
      </c>
    </row>
    <row r="146" customFormat="false" ht="15" hidden="false" customHeight="false" outlineLevel="0" collapsed="false">
      <c r="G146" s="0" t="n">
        <f aca="false">IF(D146="Mono&amp;Dual",MIN(E146,F146)*2,MIN(E146,F146))</f>
        <v>0</v>
      </c>
    </row>
    <row r="147" customFormat="false" ht="15" hidden="false" customHeight="false" outlineLevel="0" collapsed="false">
      <c r="G147" s="0" t="n">
        <f aca="false">IF(D147="Mono&amp;Dual",MIN(E147,F147)*2,MIN(E147,F147))</f>
        <v>0</v>
      </c>
    </row>
    <row r="148" customFormat="false" ht="15" hidden="false" customHeight="false" outlineLevel="0" collapsed="false">
      <c r="G148" s="0" t="n">
        <f aca="false">IF(D148="Mono&amp;Dual",MIN(E148,F148)*2,MIN(E148,F148))</f>
        <v>0</v>
      </c>
    </row>
    <row r="149" customFormat="false" ht="15" hidden="false" customHeight="false" outlineLevel="0" collapsed="false">
      <c r="G149" s="0" t="n">
        <f aca="false">IF(D149="Mono&amp;Dual",MIN(E149,F149)*2,MIN(E149,F149))</f>
        <v>0</v>
      </c>
    </row>
    <row r="150" customFormat="false" ht="15" hidden="false" customHeight="false" outlineLevel="0" collapsed="false">
      <c r="G150" s="0" t="n">
        <f aca="false">IF(D150="Mono&amp;Dual",MIN(E150,F150)*2,MIN(E150,F150))</f>
        <v>0</v>
      </c>
    </row>
    <row r="151" customFormat="false" ht="15" hidden="false" customHeight="false" outlineLevel="0" collapsed="false">
      <c r="G151" s="0" t="n">
        <f aca="false">IF(D151="Mono&amp;Dual",MIN(E151,F151)*2,MIN(E151,F151))</f>
        <v>0</v>
      </c>
    </row>
    <row r="152" customFormat="false" ht="15" hidden="false" customHeight="false" outlineLevel="0" collapsed="false">
      <c r="G152" s="0" t="n">
        <f aca="false">IF(D152="Mono&amp;Dual",MIN(E152,F152)*2,MIN(E152,F152))</f>
        <v>0</v>
      </c>
    </row>
    <row r="153" customFormat="false" ht="15" hidden="false" customHeight="false" outlineLevel="0" collapsed="false">
      <c r="G153" s="0" t="n">
        <f aca="false">IF(D153="Mono&amp;Dual",MIN(E153,F153)*2,MIN(E153,F153))</f>
        <v>0</v>
      </c>
    </row>
    <row r="154" customFormat="false" ht="15" hidden="false" customHeight="false" outlineLevel="0" collapsed="false">
      <c r="G154" s="0" t="n">
        <f aca="false">IF(D154="Mono&amp;Dual",MIN(E154,F154)*2,MIN(E154,F154))</f>
        <v>0</v>
      </c>
    </row>
    <row r="155" customFormat="false" ht="15" hidden="false" customHeight="false" outlineLevel="0" collapsed="false">
      <c r="G155" s="0" t="n">
        <f aca="false">IF(D155="Mono&amp;Dual",MIN(E155,F155)*2,MIN(E155,F155))</f>
        <v>0</v>
      </c>
    </row>
    <row r="156" customFormat="false" ht="15" hidden="false" customHeight="false" outlineLevel="0" collapsed="false">
      <c r="G156" s="0" t="n">
        <f aca="false">IF(D156="Mono&amp;Dual",MIN(E156,F156)*2,MIN(E156,F156))</f>
        <v>0</v>
      </c>
    </row>
    <row r="157" customFormat="false" ht="15" hidden="false" customHeight="false" outlineLevel="0" collapsed="false">
      <c r="G157" s="0" t="n">
        <f aca="false">IF(D157="Mono&amp;Dual",MIN(E157,F157)*2,MIN(E157,F157))</f>
        <v>0</v>
      </c>
    </row>
    <row r="158" customFormat="false" ht="15" hidden="false" customHeight="false" outlineLevel="0" collapsed="false">
      <c r="G158" s="0" t="n">
        <f aca="false">IF(D158="Mono&amp;Dual",MIN(E158,F158)*2,MIN(E158,F158))</f>
        <v>0</v>
      </c>
    </row>
    <row r="159" customFormat="false" ht="15" hidden="false" customHeight="false" outlineLevel="0" collapsed="false">
      <c r="G159" s="0" t="n">
        <f aca="false">IF(D159="Mono&amp;Dual",MIN(E159,F159)*2,MIN(E159,F159))</f>
        <v>0</v>
      </c>
    </row>
    <row r="160" customFormat="false" ht="15" hidden="false" customHeight="false" outlineLevel="0" collapsed="false">
      <c r="G160" s="0" t="n">
        <f aca="false">IF(D160="Mono&amp;Dual",MIN(E160,F160)*2,MIN(E160,F160))</f>
        <v>0</v>
      </c>
    </row>
    <row r="161" customFormat="false" ht="15" hidden="false" customHeight="false" outlineLevel="0" collapsed="false">
      <c r="G161" s="0" t="n">
        <f aca="false">IF(D161="Mono&amp;Dual",MIN(E161,F161)*2,MIN(E161,F161))</f>
        <v>0</v>
      </c>
    </row>
    <row r="162" customFormat="false" ht="15" hidden="false" customHeight="false" outlineLevel="0" collapsed="false">
      <c r="G162" s="0" t="n">
        <f aca="false">IF(D162="Mono&amp;Dual",MIN(E162,F162)*2,MIN(E162,F162))</f>
        <v>0</v>
      </c>
    </row>
    <row r="163" customFormat="false" ht="15" hidden="false" customHeight="false" outlineLevel="0" collapsed="false">
      <c r="G163" s="0" t="n">
        <f aca="false">IF(D163="Mono&amp;Dual",MIN(E163,F163)*2,MIN(E163,F163))</f>
        <v>0</v>
      </c>
    </row>
    <row r="164" customFormat="false" ht="15" hidden="false" customHeight="false" outlineLevel="0" collapsed="false">
      <c r="G164" s="0" t="n">
        <f aca="false">IF(D164="Mono&amp;Dual",MIN(E164,F164)*2,MIN(E164,F164))</f>
        <v>0</v>
      </c>
    </row>
    <row r="165" customFormat="false" ht="15" hidden="false" customHeight="false" outlineLevel="0" collapsed="false">
      <c r="G165" s="0" t="n">
        <f aca="false">IF(D165="Mono&amp;Dual",MIN(E165,F165)*2,MIN(E165,F165))</f>
        <v>0</v>
      </c>
    </row>
    <row r="166" customFormat="false" ht="15" hidden="false" customHeight="false" outlineLevel="0" collapsed="false">
      <c r="G166" s="0" t="n">
        <f aca="false">IF(D166="Mono&amp;Dual",MIN(E166,F166)*2,MIN(E166,F166))</f>
        <v>0</v>
      </c>
    </row>
    <row r="167" customFormat="false" ht="15" hidden="false" customHeight="false" outlineLevel="0" collapsed="false">
      <c r="G167" s="0" t="n">
        <f aca="false">IF(D167="Mono&amp;Dual",MIN(E167,F167)*2,MIN(E167,F167))</f>
        <v>0</v>
      </c>
    </row>
    <row r="168" customFormat="false" ht="15" hidden="false" customHeight="false" outlineLevel="0" collapsed="false">
      <c r="G168" s="0" t="n">
        <f aca="false">IF(D168="Mono&amp;Dual",MIN(E168,F168)*2,MIN(E168,F168))</f>
        <v>0</v>
      </c>
    </row>
    <row r="169" customFormat="false" ht="15" hidden="false" customHeight="false" outlineLevel="0" collapsed="false">
      <c r="G169" s="0" t="n">
        <f aca="false">IF(D169="Mono&amp;Dual",MIN(E169,F169)*2,MIN(E169,F169))</f>
        <v>0</v>
      </c>
    </row>
    <row r="170" customFormat="false" ht="15" hidden="false" customHeight="false" outlineLevel="0" collapsed="false">
      <c r="G170" s="0" t="n">
        <f aca="false">IF(D170="Mono&amp;Dual",MIN(E170,F170)*2,MIN(E170,F170))</f>
        <v>0</v>
      </c>
    </row>
    <row r="171" customFormat="false" ht="15" hidden="false" customHeight="false" outlineLevel="0" collapsed="false">
      <c r="G171" s="0" t="n">
        <f aca="false">IF(D171="Mono&amp;Dual",MIN(E171,F171)*2,MIN(E171,F171))</f>
        <v>0</v>
      </c>
    </row>
    <row r="172" customFormat="false" ht="15" hidden="false" customHeight="false" outlineLevel="0" collapsed="false">
      <c r="G172" s="0" t="n">
        <f aca="false">IF(D172="Mono&amp;Dual",MIN(E172,F172)*2,MIN(E172,F172))</f>
        <v>0</v>
      </c>
    </row>
    <row r="173" customFormat="false" ht="15" hidden="false" customHeight="false" outlineLevel="0" collapsed="false">
      <c r="G173" s="0" t="n">
        <f aca="false">IF(D173="Mono&amp;Dual",MIN(E173,F173)*2,MIN(E173,F173))</f>
        <v>0</v>
      </c>
    </row>
    <row r="174" customFormat="false" ht="15" hidden="false" customHeight="false" outlineLevel="0" collapsed="false">
      <c r="G174" s="0" t="n">
        <f aca="false">IF(D174="Mono&amp;Dual",MIN(E174,F174)*2,MIN(E174,F174))</f>
        <v>0</v>
      </c>
    </row>
    <row r="175" customFormat="false" ht="15" hidden="false" customHeight="false" outlineLevel="0" collapsed="false">
      <c r="G175" s="0" t="n">
        <f aca="false">IF(D175="Mono&amp;Dual",MIN(E175,F175)*2,MIN(E175,F175))</f>
        <v>0</v>
      </c>
    </row>
    <row r="176" customFormat="false" ht="15" hidden="false" customHeight="false" outlineLevel="0" collapsed="false">
      <c r="G176" s="0" t="n">
        <f aca="false">IF(D176="Mono&amp;Dual",MIN(E176,F176)*2,MIN(E176,F176))</f>
        <v>0</v>
      </c>
    </row>
    <row r="177" customFormat="false" ht="15" hidden="false" customHeight="false" outlineLevel="0" collapsed="false">
      <c r="G177" s="0" t="n">
        <f aca="false">IF(D177="Mono&amp;Dual",MIN(E177,F177)*2,MIN(E177,F177))</f>
        <v>0</v>
      </c>
    </row>
    <row r="178" customFormat="false" ht="15" hidden="false" customHeight="false" outlineLevel="0" collapsed="false">
      <c r="G178" s="0" t="n">
        <f aca="false">IF(D178="Mono&amp;Dual",MIN(E178,F178)*2,MIN(E178,F178))</f>
        <v>0</v>
      </c>
    </row>
    <row r="179" customFormat="false" ht="15" hidden="false" customHeight="false" outlineLevel="0" collapsed="false">
      <c r="G179" s="0" t="n">
        <f aca="false">IF(D179="Mono&amp;Dual",MIN(E179,F179)*2,MIN(E179,F179))</f>
        <v>0</v>
      </c>
    </row>
    <row r="180" customFormat="false" ht="15" hidden="false" customHeight="false" outlineLevel="0" collapsed="false">
      <c r="G180" s="0" t="n">
        <f aca="false">IF(D180="Mono&amp;Dual",MIN(E180,F180)*2,MIN(E180,F180))</f>
        <v>0</v>
      </c>
    </row>
    <row r="181" customFormat="false" ht="15" hidden="false" customHeight="false" outlineLevel="0" collapsed="false">
      <c r="G181" s="0" t="n">
        <f aca="false">IF(D181="Mono&amp;Dual",MIN(E181,F181)*2,MIN(E181,F181))</f>
        <v>0</v>
      </c>
    </row>
    <row r="182" customFormat="false" ht="15" hidden="false" customHeight="false" outlineLevel="0" collapsed="false">
      <c r="G182" s="0" t="n">
        <f aca="false">IF(D182="Mono&amp;Dual",MIN(E182,F182)*2,MIN(E182,F182))</f>
        <v>0</v>
      </c>
    </row>
    <row r="183" customFormat="false" ht="15" hidden="false" customHeight="false" outlineLevel="0" collapsed="false">
      <c r="G183" s="0" t="n">
        <f aca="false">IF(D183="Mono&amp;Dual",MIN(E183,F183)*2,MIN(E183,F183))</f>
        <v>0</v>
      </c>
    </row>
    <row r="184" customFormat="false" ht="15" hidden="false" customHeight="false" outlineLevel="0" collapsed="false">
      <c r="G184" s="0" t="n">
        <f aca="false">IF(D184="Mono&amp;Dual",MIN(E184,F184)*2,MIN(E184,F184))</f>
        <v>0</v>
      </c>
    </row>
    <row r="185" customFormat="false" ht="15" hidden="false" customHeight="false" outlineLevel="0" collapsed="false">
      <c r="G185" s="0" t="n">
        <f aca="false">IF(D185="Mono&amp;Dual",MIN(E185,F185)*2,MIN(E185,F185))</f>
        <v>0</v>
      </c>
    </row>
    <row r="186" customFormat="false" ht="15" hidden="false" customHeight="false" outlineLevel="0" collapsed="false">
      <c r="G186" s="0" t="n">
        <f aca="false">IF(D186="Mono&amp;Dual",MIN(E186,F186)*2,MIN(E186,F186))</f>
        <v>0</v>
      </c>
    </row>
    <row r="187" customFormat="false" ht="15" hidden="false" customHeight="false" outlineLevel="0" collapsed="false">
      <c r="G187" s="0" t="n">
        <f aca="false">IF(D187="Mono&amp;Dual",MIN(E187,F187)*2,MIN(E187,F187))</f>
        <v>0</v>
      </c>
    </row>
    <row r="188" customFormat="false" ht="15" hidden="false" customHeight="false" outlineLevel="0" collapsed="false">
      <c r="G188" s="0" t="n">
        <f aca="false">IF(D188="Mono&amp;Dual",MIN(E188,F188)*2,MIN(E188,F188))</f>
        <v>0</v>
      </c>
    </row>
    <row r="189" customFormat="false" ht="15" hidden="false" customHeight="false" outlineLevel="0" collapsed="false">
      <c r="G189" s="0" t="n">
        <f aca="false">IF(D189="Mono&amp;Dual",MIN(E189,F189)*2,MIN(E189,F189))</f>
        <v>0</v>
      </c>
    </row>
    <row r="190" customFormat="false" ht="15" hidden="false" customHeight="false" outlineLevel="0" collapsed="false">
      <c r="G190" s="0" t="n">
        <f aca="false">IF(D190="Mono&amp;Dual",MIN(E190,F190)*2,MIN(E190,F190))</f>
        <v>0</v>
      </c>
    </row>
    <row r="191" customFormat="false" ht="15" hidden="false" customHeight="false" outlineLevel="0" collapsed="false">
      <c r="G191" s="0" t="n">
        <f aca="false">IF(D191="Mono&amp;Dual",MIN(E191,F191)*2,MIN(E191,F191))</f>
        <v>0</v>
      </c>
    </row>
    <row r="192" customFormat="false" ht="15" hidden="false" customHeight="false" outlineLevel="0" collapsed="false">
      <c r="G192" s="0" t="n">
        <f aca="false">IF(D192="Mono&amp;Dual",MIN(E192,F192)*2,MIN(E192,F192))</f>
        <v>0</v>
      </c>
    </row>
    <row r="193" customFormat="false" ht="15" hidden="false" customHeight="false" outlineLevel="0" collapsed="false">
      <c r="G193" s="0" t="n">
        <f aca="false">IF(D193="Mono&amp;Dual",MIN(E193,F193)*2,MIN(E193,F193))</f>
        <v>0</v>
      </c>
    </row>
    <row r="194" customFormat="false" ht="15" hidden="false" customHeight="false" outlineLevel="0" collapsed="false">
      <c r="G194" s="0" t="n">
        <f aca="false">IF(D194="Mono&amp;Dual",MIN(E194,F194)*2,MIN(E194,F194))</f>
        <v>0</v>
      </c>
    </row>
    <row r="195" customFormat="false" ht="15" hidden="false" customHeight="false" outlineLevel="0" collapsed="false">
      <c r="G195" s="0" t="n">
        <f aca="false">IF(D195="Mono&amp;Dual",MIN(E195,F195)*2,MIN(E195,F195))</f>
        <v>0</v>
      </c>
    </row>
    <row r="196" customFormat="false" ht="15" hidden="false" customHeight="false" outlineLevel="0" collapsed="false">
      <c r="G196" s="0" t="n">
        <f aca="false">IF(D196="Mono&amp;Dual",MIN(E196,F196)*2,MIN(E196,F196))</f>
        <v>0</v>
      </c>
    </row>
    <row r="197" customFormat="false" ht="15" hidden="false" customHeight="false" outlineLevel="0" collapsed="false">
      <c r="G197" s="0" t="n">
        <f aca="false">IF(D197="Mono&amp;Dual",MIN(E197,F197)*2,MIN(E197,F197))</f>
        <v>0</v>
      </c>
    </row>
    <row r="198" customFormat="false" ht="15" hidden="false" customHeight="false" outlineLevel="0" collapsed="false">
      <c r="G198" s="0" t="n">
        <f aca="false">IF(D198="Mono&amp;Dual",MIN(E198,F198)*2,MIN(E198,F198))</f>
        <v>0</v>
      </c>
    </row>
    <row r="199" customFormat="false" ht="15" hidden="false" customHeight="false" outlineLevel="0" collapsed="false">
      <c r="G199" s="0" t="n">
        <f aca="false">IF(D199="Mono&amp;Dual",MIN(E199,F199)*2,MIN(E199,F199))</f>
        <v>0</v>
      </c>
    </row>
    <row r="200" customFormat="false" ht="15" hidden="false" customHeight="false" outlineLevel="0" collapsed="false">
      <c r="G200" s="0" t="n">
        <f aca="false">IF(D200="Mono&amp;Dual",MIN(E200,F200)*2,MIN(E200,F200))</f>
        <v>0</v>
      </c>
    </row>
    <row r="201" customFormat="false" ht="15" hidden="false" customHeight="false" outlineLevel="0" collapsed="false">
      <c r="G201" s="0" t="n">
        <f aca="false">IF(D201="Mono&amp;Dual",MIN(E201,F201)*2,MIN(E201,F201))</f>
        <v>0</v>
      </c>
    </row>
    <row r="202" customFormat="false" ht="15" hidden="false" customHeight="false" outlineLevel="0" collapsed="false">
      <c r="G202" s="0" t="n">
        <f aca="false">IF(D202="Mono&amp;Dual",MIN(E202,F202)*2,MIN(E202,F202))</f>
        <v>0</v>
      </c>
    </row>
    <row r="203" customFormat="false" ht="15" hidden="false" customHeight="false" outlineLevel="0" collapsed="false">
      <c r="G203" s="0" t="n">
        <f aca="false">IF(D203="Mono&amp;Dual",MIN(E203,F203)*2,MIN(E203,F203))</f>
        <v>0</v>
      </c>
    </row>
    <row r="204" customFormat="false" ht="15" hidden="false" customHeight="false" outlineLevel="0" collapsed="false">
      <c r="G204" s="0" t="n">
        <f aca="false">IF(D204="Mono&amp;Dual",MIN(E204,F204)*2,MIN(E204,F204))</f>
        <v>0</v>
      </c>
    </row>
    <row r="205" customFormat="false" ht="15" hidden="false" customHeight="false" outlineLevel="0" collapsed="false">
      <c r="G205" s="0" t="n">
        <f aca="false">IF(D205="Mono&amp;Dual",MIN(E205,F205)*2,MIN(E205,F205))</f>
        <v>0</v>
      </c>
    </row>
    <row r="206" customFormat="false" ht="15" hidden="false" customHeight="false" outlineLevel="0" collapsed="false">
      <c r="G206" s="0" t="n">
        <f aca="false">IF(D206="Mono&amp;Dual",MIN(E206,F206)*2,MIN(E206,F206))</f>
        <v>0</v>
      </c>
    </row>
    <row r="207" customFormat="false" ht="15" hidden="false" customHeight="false" outlineLevel="0" collapsed="false">
      <c r="G207" s="0" t="n">
        <f aca="false">IF(D207="Mono&amp;Dual",MIN(E207,F207)*2,MIN(E207,F207))</f>
        <v>0</v>
      </c>
    </row>
    <row r="208" customFormat="false" ht="15" hidden="false" customHeight="false" outlineLevel="0" collapsed="false">
      <c r="G208" s="0" t="n">
        <f aca="false">IF(D208="Mono&amp;Dual",MIN(E208,F208)*2,MIN(E208,F208))</f>
        <v>0</v>
      </c>
    </row>
    <row r="209" customFormat="false" ht="15" hidden="false" customHeight="false" outlineLevel="0" collapsed="false">
      <c r="G209" s="0" t="n">
        <f aca="false">IF(D209="Mono&amp;Dual",MIN(E209,F209)*2,MIN(E209,F209))</f>
        <v>0</v>
      </c>
    </row>
    <row r="210" customFormat="false" ht="15" hidden="false" customHeight="false" outlineLevel="0" collapsed="false">
      <c r="G210" s="0" t="n">
        <f aca="false">IF(D210="Mono&amp;Dual",MIN(E210,F210)*2,MIN(E210,F210))</f>
        <v>0</v>
      </c>
    </row>
    <row r="211" customFormat="false" ht="15" hidden="false" customHeight="false" outlineLevel="0" collapsed="false">
      <c r="G211" s="0" t="n">
        <f aca="false">IF(D211="Mono&amp;Dual",MIN(E211,F211)*2,MIN(E211,F211))</f>
        <v>0</v>
      </c>
    </row>
    <row r="212" customFormat="false" ht="15" hidden="false" customHeight="false" outlineLevel="0" collapsed="false">
      <c r="G212" s="0" t="n">
        <f aca="false">IF(D212="Mono&amp;Dual",MIN(E212,F212)*2,MIN(E212,F212))</f>
        <v>0</v>
      </c>
    </row>
    <row r="213" customFormat="false" ht="15" hidden="false" customHeight="false" outlineLevel="0" collapsed="false">
      <c r="G213" s="0" t="n">
        <f aca="false">IF(D213="Mono&amp;Dual",MIN(E213,F213)*2,MIN(E213,F213))</f>
        <v>0</v>
      </c>
    </row>
    <row r="214" customFormat="false" ht="15" hidden="false" customHeight="false" outlineLevel="0" collapsed="false">
      <c r="G214" s="0" t="n">
        <f aca="false">IF(D214="Mono&amp;Dual",MIN(E214,F214)*2,MIN(E214,F214))</f>
        <v>0</v>
      </c>
    </row>
    <row r="215" customFormat="false" ht="15" hidden="false" customHeight="false" outlineLevel="0" collapsed="false">
      <c r="G215" s="0" t="n">
        <f aca="false">IF(D215="Mono&amp;Dual",MIN(E215,F215)*2,MIN(E215,F215))</f>
        <v>0</v>
      </c>
    </row>
    <row r="216" customFormat="false" ht="15" hidden="false" customHeight="false" outlineLevel="0" collapsed="false">
      <c r="G216" s="0" t="n">
        <f aca="false">IF(D216="Mono&amp;Dual",MIN(E216,F216)*2,MIN(E216,F216))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J3" activeCellId="0" sqref="J3"/>
    </sheetView>
  </sheetViews>
  <sheetFormatPr defaultColWidth="8.6171875" defaultRowHeight="15" customHeight="false" zeroHeight="false" outlineLevelRow="0" outlineLevelCol="0"/>
  <cols>
    <col collapsed="false" customWidth="true" hidden="false" outlineLevel="0" max="4" min="4" style="0" width="11.71"/>
    <col collapsed="false" customWidth="true" hidden="false" outlineLevel="0" max="7" min="7" style="0" width="16.29"/>
    <col collapsed="false" customWidth="true" hidden="false" outlineLevel="0" max="8" min="8" style="0" width="9"/>
    <col collapsed="false" customWidth="true" hidden="false" outlineLevel="0" max="10" min="10" style="0" width="10.71"/>
    <col collapsed="false" customWidth="true" hidden="false" outlineLevel="0" max="11" min="11" style="0" width="12.71"/>
  </cols>
  <sheetData>
    <row r="1" customFormat="false" ht="15" hidden="false" customHeight="false" outlineLevel="0" collapsed="false">
      <c r="A1" s="13" t="s">
        <v>1</v>
      </c>
      <c r="B1" s="14" t="s">
        <v>25</v>
      </c>
      <c r="C1" s="14" t="s">
        <v>26</v>
      </c>
      <c r="D1" s="14" t="s">
        <v>27</v>
      </c>
      <c r="E1" s="14" t="s">
        <v>28</v>
      </c>
      <c r="F1" s="15" t="s">
        <v>29</v>
      </c>
      <c r="G1" s="0" t="s">
        <v>30</v>
      </c>
    </row>
    <row r="2" customFormat="false" ht="15" hidden="false" customHeight="false" outlineLevel="0" collapsed="false">
      <c r="A2" s="16" t="n">
        <v>4</v>
      </c>
      <c r="B2" s="17" t="n">
        <v>5</v>
      </c>
      <c r="C2" s="17" t="s">
        <v>216</v>
      </c>
      <c r="D2" s="17" t="s">
        <v>211</v>
      </c>
      <c r="E2" s="17" t="n">
        <v>16000</v>
      </c>
      <c r="F2" s="18" t="n">
        <v>2000</v>
      </c>
      <c r="G2" s="0" t="n">
        <f aca="false">IF(D2="Mono&amp;Dual",MIN(E2,F2)*2,MIN(E2,F2))</f>
        <v>4000</v>
      </c>
      <c r="J2" s="1" t="s">
        <v>0</v>
      </c>
      <c r="K2" s="1" t="s">
        <v>33</v>
      </c>
    </row>
    <row r="3" customFormat="false" ht="15" hidden="false" customHeight="false" outlineLevel="0" collapsed="false">
      <c r="A3" s="19" t="n">
        <v>4</v>
      </c>
      <c r="B3" s="20" t="n">
        <v>5</v>
      </c>
      <c r="C3" s="20" t="s">
        <v>215</v>
      </c>
      <c r="D3" s="20" t="s">
        <v>211</v>
      </c>
      <c r="E3" s="20" t="n">
        <v>1000</v>
      </c>
      <c r="F3" s="21" t="n">
        <v>8000</v>
      </c>
      <c r="G3" s="0" t="n">
        <f aca="false">IF(D3="Mono&amp;Dual",MIN(E3,F3)*2,MIN(E3,F3))</f>
        <v>2000</v>
      </c>
      <c r="J3" s="1" t="n">
        <v>5</v>
      </c>
      <c r="K3" s="1" t="n">
        <f aca="false">SUMIFS(G:G,B:B,J3)/2</f>
        <v>9000</v>
      </c>
      <c r="L3" s="5"/>
      <c r="M3" s="5"/>
    </row>
    <row r="4" customFormat="false" ht="15" hidden="false" customHeight="false" outlineLevel="0" collapsed="false">
      <c r="A4" s="16" t="n">
        <v>4</v>
      </c>
      <c r="B4" s="17" t="n">
        <v>5</v>
      </c>
      <c r="C4" s="17" t="s">
        <v>217</v>
      </c>
      <c r="D4" s="17" t="s">
        <v>36</v>
      </c>
      <c r="E4" s="17"/>
      <c r="F4" s="18" t="n">
        <v>12000</v>
      </c>
      <c r="G4" s="0" t="n">
        <f aca="false">IF(D4="Mono&amp;Dual",MIN(E4,F4)*2,MIN(E4,F4))</f>
        <v>12000</v>
      </c>
      <c r="J4" s="1" t="n">
        <v>10</v>
      </c>
      <c r="K4" s="1" t="n">
        <f aca="false">SUMIFS(G:G,B:B,J4)/2</f>
        <v>17500</v>
      </c>
      <c r="L4" s="5"/>
      <c r="M4" s="5"/>
    </row>
    <row r="5" customFormat="false" ht="15" hidden="false" customHeight="false" outlineLevel="0" collapsed="false">
      <c r="A5" s="19" t="n">
        <v>4</v>
      </c>
      <c r="B5" s="20" t="n">
        <v>10</v>
      </c>
      <c r="C5" s="20" t="s">
        <v>215</v>
      </c>
      <c r="D5" s="20" t="s">
        <v>211</v>
      </c>
      <c r="E5" s="20" t="n">
        <v>1000</v>
      </c>
      <c r="F5" s="21" t="n">
        <v>14000</v>
      </c>
      <c r="G5" s="0" t="n">
        <f aca="false">IF(D5="Mono&amp;Dual",MIN(E5,F5)*2,MIN(E5,F5))</f>
        <v>2000</v>
      </c>
      <c r="J5" s="1" t="n">
        <v>20</v>
      </c>
      <c r="K5" s="1" t="n">
        <f aca="false">SUMIFS(G:G,B:B,J5)/2</f>
        <v>46000</v>
      </c>
      <c r="L5" s="5"/>
      <c r="M5" s="5"/>
    </row>
    <row r="6" customFormat="false" ht="15" hidden="false" customHeight="false" outlineLevel="0" collapsed="false">
      <c r="A6" s="16" t="n">
        <v>4</v>
      </c>
      <c r="B6" s="17" t="n">
        <v>10</v>
      </c>
      <c r="C6" s="17" t="s">
        <v>216</v>
      </c>
      <c r="D6" s="17" t="s">
        <v>211</v>
      </c>
      <c r="E6" s="17" t="n">
        <v>16000</v>
      </c>
      <c r="F6" s="18" t="n">
        <v>2000</v>
      </c>
      <c r="G6" s="0" t="n">
        <f aca="false">IF(D6="Mono&amp;Dual",MIN(E6,F6)*2,MIN(E6,F6))</f>
        <v>4000</v>
      </c>
      <c r="J6" s="1" t="n">
        <v>30</v>
      </c>
      <c r="K6" s="1" t="n">
        <f aca="false">SUMIFS(G:G,B:B,J6)/2</f>
        <v>41300</v>
      </c>
      <c r="L6" s="5"/>
      <c r="M6" s="5"/>
    </row>
    <row r="7" customFormat="false" ht="15" hidden="false" customHeight="false" outlineLevel="0" collapsed="false">
      <c r="A7" s="19" t="n">
        <v>4</v>
      </c>
      <c r="B7" s="20" t="n">
        <v>10</v>
      </c>
      <c r="C7" s="20" t="s">
        <v>223</v>
      </c>
      <c r="D7" s="20" t="s">
        <v>211</v>
      </c>
      <c r="E7" s="20" t="n">
        <v>2000</v>
      </c>
      <c r="F7" s="21" t="n">
        <v>10000</v>
      </c>
      <c r="G7" s="0" t="n">
        <f aca="false">IF(D7="Mono&amp;Dual",MIN(E7,F7)*2,MIN(E7,F7))</f>
        <v>4000</v>
      </c>
      <c r="J7" s="1" t="n">
        <v>50</v>
      </c>
      <c r="K7" s="1" t="n">
        <f aca="false">SUMIFS(G:G,B:B,J7)/2</f>
        <v>110950</v>
      </c>
      <c r="L7" s="5"/>
      <c r="M7" s="5"/>
    </row>
    <row r="8" customFormat="false" ht="15" hidden="false" customHeight="false" outlineLevel="0" collapsed="false">
      <c r="A8" s="16" t="n">
        <v>4</v>
      </c>
      <c r="B8" s="17" t="n">
        <v>10</v>
      </c>
      <c r="C8" s="17" t="s">
        <v>224</v>
      </c>
      <c r="D8" s="17" t="s">
        <v>32</v>
      </c>
      <c r="E8" s="17" t="n">
        <v>12000</v>
      </c>
      <c r="F8" s="18"/>
      <c r="G8" s="0" t="n">
        <f aca="false">IF(D8="Mono&amp;Dual",MIN(E8,F8)*2,MIN(E8,F8))</f>
        <v>12000</v>
      </c>
      <c r="J8" s="1" t="n">
        <v>100</v>
      </c>
      <c r="K8" s="1" t="n">
        <f aca="false">SUMIFS(G:G,B:B,J8)/2</f>
        <v>30900</v>
      </c>
      <c r="L8" s="5"/>
      <c r="M8" s="5"/>
    </row>
    <row r="9" customFormat="false" ht="15" hidden="false" customHeight="false" outlineLevel="0" collapsed="false">
      <c r="A9" s="19" t="n">
        <v>4</v>
      </c>
      <c r="B9" s="20" t="n">
        <v>10</v>
      </c>
      <c r="C9" s="20" t="s">
        <v>231</v>
      </c>
      <c r="D9" s="20" t="s">
        <v>32</v>
      </c>
      <c r="E9" s="20" t="n">
        <v>1000</v>
      </c>
      <c r="F9" s="21"/>
      <c r="G9" s="0" t="n">
        <f aca="false">IF(D9="Mono&amp;Dual",MIN(E9,F9)*2,MIN(E9,F9))</f>
        <v>1000</v>
      </c>
      <c r="J9" s="5"/>
      <c r="K9" s="5"/>
      <c r="L9" s="5"/>
      <c r="M9" s="5"/>
    </row>
    <row r="10" customFormat="false" ht="15" hidden="false" customHeight="false" outlineLevel="0" collapsed="false">
      <c r="A10" s="16" t="n">
        <v>4</v>
      </c>
      <c r="B10" s="17" t="n">
        <v>10</v>
      </c>
      <c r="C10" s="17" t="s">
        <v>232</v>
      </c>
      <c r="D10" s="17" t="s">
        <v>32</v>
      </c>
      <c r="E10" s="17" t="n">
        <v>8000</v>
      </c>
      <c r="F10" s="18"/>
      <c r="G10" s="0" t="n">
        <f aca="false">IF(D10="Mono&amp;Dual",MIN(E10,F10)*2,MIN(E10,F10))</f>
        <v>8000</v>
      </c>
    </row>
    <row r="11" customFormat="false" ht="15" hidden="false" customHeight="false" outlineLevel="0" collapsed="false">
      <c r="A11" s="19" t="n">
        <v>4</v>
      </c>
      <c r="B11" s="20" t="n">
        <v>10</v>
      </c>
      <c r="C11" s="20" t="s">
        <v>217</v>
      </c>
      <c r="D11" s="20" t="s">
        <v>36</v>
      </c>
      <c r="E11" s="20"/>
      <c r="F11" s="21" t="n">
        <v>4000</v>
      </c>
      <c r="G11" s="0" t="n">
        <f aca="false">IF(D11="Mono&amp;Dual",MIN(E11,F11)*2,MIN(E11,F11))</f>
        <v>4000</v>
      </c>
    </row>
    <row r="12" customFormat="false" ht="15" hidden="false" customHeight="false" outlineLevel="0" collapsed="false">
      <c r="A12" s="16" t="n">
        <v>4</v>
      </c>
      <c r="B12" s="17" t="n">
        <v>20</v>
      </c>
      <c r="C12" s="17" t="s">
        <v>215</v>
      </c>
      <c r="D12" s="17" t="s">
        <v>211</v>
      </c>
      <c r="E12" s="17" t="n">
        <v>1000</v>
      </c>
      <c r="F12" s="18" t="n">
        <v>16000</v>
      </c>
      <c r="G12" s="0" t="n">
        <f aca="false">IF(D12="Mono&amp;Dual",MIN(E12,F12)*2,MIN(E12,F12))</f>
        <v>2000</v>
      </c>
    </row>
    <row r="13" customFormat="false" ht="15" hidden="false" customHeight="false" outlineLevel="0" collapsed="false">
      <c r="A13" s="19" t="n">
        <v>4</v>
      </c>
      <c r="B13" s="20" t="n">
        <v>20</v>
      </c>
      <c r="C13" s="20" t="s">
        <v>216</v>
      </c>
      <c r="D13" s="20" t="s">
        <v>211</v>
      </c>
      <c r="E13" s="20" t="n">
        <v>20000</v>
      </c>
      <c r="F13" s="21" t="n">
        <v>2000</v>
      </c>
      <c r="G13" s="0" t="n">
        <f aca="false">IF(D13="Mono&amp;Dual",MIN(E13,F13)*2,MIN(E13,F13))</f>
        <v>4000</v>
      </c>
    </row>
    <row r="14" customFormat="false" ht="15" hidden="false" customHeight="false" outlineLevel="0" collapsed="false">
      <c r="A14" s="16" t="n">
        <v>4</v>
      </c>
      <c r="B14" s="17" t="n">
        <v>20</v>
      </c>
      <c r="C14" s="17" t="s">
        <v>223</v>
      </c>
      <c r="D14" s="17" t="s">
        <v>211</v>
      </c>
      <c r="E14" s="17" t="n">
        <v>2000</v>
      </c>
      <c r="F14" s="18" t="n">
        <v>12000</v>
      </c>
      <c r="G14" s="0" t="n">
        <f aca="false">IF(D14="Mono&amp;Dual",MIN(E14,F14)*2,MIN(E14,F14))</f>
        <v>4000</v>
      </c>
    </row>
    <row r="15" customFormat="false" ht="15" hidden="false" customHeight="false" outlineLevel="0" collapsed="false">
      <c r="A15" s="19" t="n">
        <v>4</v>
      </c>
      <c r="B15" s="20" t="n">
        <v>20</v>
      </c>
      <c r="C15" s="20" t="s">
        <v>224</v>
      </c>
      <c r="D15" s="20" t="s">
        <v>211</v>
      </c>
      <c r="E15" s="20" t="n">
        <v>15000</v>
      </c>
      <c r="F15" s="21" t="n">
        <v>2000</v>
      </c>
      <c r="G15" s="0" t="n">
        <f aca="false">IF(D15="Mono&amp;Dual",MIN(E15,F15)*2,MIN(E15,F15))</f>
        <v>4000</v>
      </c>
    </row>
    <row r="16" customFormat="false" ht="15" hidden="false" customHeight="false" outlineLevel="0" collapsed="false">
      <c r="A16" s="16" t="n">
        <v>4</v>
      </c>
      <c r="B16" s="17" t="n">
        <v>20</v>
      </c>
      <c r="C16" s="17" t="s">
        <v>231</v>
      </c>
      <c r="D16" s="17" t="s">
        <v>211</v>
      </c>
      <c r="E16" s="17" t="n">
        <v>1000</v>
      </c>
      <c r="F16" s="18" t="n">
        <v>14000</v>
      </c>
      <c r="G16" s="0" t="n">
        <f aca="false">IF(D16="Mono&amp;Dual",MIN(E16,F16)*2,MIN(E16,F16))</f>
        <v>2000</v>
      </c>
    </row>
    <row r="17" customFormat="false" ht="15" hidden="false" customHeight="false" outlineLevel="0" collapsed="false">
      <c r="A17" s="19" t="n">
        <v>4</v>
      </c>
      <c r="B17" s="20" t="n">
        <v>20</v>
      </c>
      <c r="C17" s="20" t="s">
        <v>232</v>
      </c>
      <c r="D17" s="20" t="s">
        <v>32</v>
      </c>
      <c r="E17" s="20" t="n">
        <v>18000</v>
      </c>
      <c r="F17" s="21"/>
      <c r="G17" s="0" t="n">
        <f aca="false">IF(D17="Mono&amp;Dual",MIN(E17,F17)*2,MIN(E17,F17))</f>
        <v>18000</v>
      </c>
    </row>
    <row r="18" customFormat="false" ht="15" hidden="false" customHeight="false" outlineLevel="0" collapsed="false">
      <c r="A18" s="16" t="n">
        <v>4</v>
      </c>
      <c r="B18" s="17" t="n">
        <v>20</v>
      </c>
      <c r="C18" s="17" t="s">
        <v>233</v>
      </c>
      <c r="D18" s="17" t="s">
        <v>32</v>
      </c>
      <c r="E18" s="17" t="n">
        <v>1000</v>
      </c>
      <c r="F18" s="18"/>
      <c r="G18" s="0" t="n">
        <f aca="false">IF(D18="Mono&amp;Dual",MIN(E18,F18)*2,MIN(E18,F18))</f>
        <v>1000</v>
      </c>
    </row>
    <row r="19" customFormat="false" ht="15" hidden="false" customHeight="false" outlineLevel="0" collapsed="false">
      <c r="A19" s="19" t="n">
        <v>4</v>
      </c>
      <c r="B19" s="20" t="n">
        <v>20</v>
      </c>
      <c r="C19" s="20" t="s">
        <v>234</v>
      </c>
      <c r="D19" s="20" t="s">
        <v>32</v>
      </c>
      <c r="E19" s="20" t="n">
        <v>10000</v>
      </c>
      <c r="F19" s="21"/>
      <c r="G19" s="0" t="n">
        <f aca="false">IF(D19="Mono&amp;Dual",MIN(E19,F19)*2,MIN(E19,F19))</f>
        <v>10000</v>
      </c>
    </row>
    <row r="20" customFormat="false" ht="15" hidden="false" customHeight="false" outlineLevel="0" collapsed="false">
      <c r="A20" s="16" t="n">
        <v>4</v>
      </c>
      <c r="B20" s="17" t="n">
        <v>20</v>
      </c>
      <c r="C20" s="17" t="s">
        <v>235</v>
      </c>
      <c r="D20" s="17" t="s">
        <v>32</v>
      </c>
      <c r="E20" s="17" t="n">
        <v>2000</v>
      </c>
      <c r="F20" s="18"/>
      <c r="G20" s="0" t="n">
        <f aca="false">IF(D20="Mono&amp;Dual",MIN(E20,F20)*2,MIN(E20,F20))</f>
        <v>2000</v>
      </c>
    </row>
    <row r="21" customFormat="false" ht="15" hidden="false" customHeight="false" outlineLevel="0" collapsed="false">
      <c r="A21" s="19" t="n">
        <v>4</v>
      </c>
      <c r="B21" s="20" t="n">
        <v>20</v>
      </c>
      <c r="C21" s="20" t="s">
        <v>236</v>
      </c>
      <c r="D21" s="20" t="s">
        <v>32</v>
      </c>
      <c r="E21" s="20" t="n">
        <v>12000</v>
      </c>
      <c r="F21" s="21"/>
      <c r="G21" s="0" t="n">
        <f aca="false">IF(D21="Mono&amp;Dual",MIN(E21,F21)*2,MIN(E21,F21))</f>
        <v>12000</v>
      </c>
    </row>
    <row r="22" customFormat="false" ht="15" hidden="false" customHeight="false" outlineLevel="0" collapsed="false">
      <c r="A22" s="16" t="n">
        <v>4</v>
      </c>
      <c r="B22" s="17" t="n">
        <v>20</v>
      </c>
      <c r="C22" s="17" t="s">
        <v>237</v>
      </c>
      <c r="D22" s="17" t="s">
        <v>32</v>
      </c>
      <c r="E22" s="17" t="n">
        <v>1000</v>
      </c>
      <c r="F22" s="18"/>
      <c r="G22" s="0" t="n">
        <f aca="false">IF(D22="Mono&amp;Dual",MIN(E22,F22)*2,MIN(E22,F22))</f>
        <v>1000</v>
      </c>
    </row>
    <row r="23" customFormat="false" ht="15" hidden="false" customHeight="false" outlineLevel="0" collapsed="false">
      <c r="A23" s="19" t="n">
        <v>4</v>
      </c>
      <c r="B23" s="20" t="n">
        <v>20</v>
      </c>
      <c r="C23" s="20" t="s">
        <v>238</v>
      </c>
      <c r="D23" s="20" t="s">
        <v>32</v>
      </c>
      <c r="E23" s="20" t="n">
        <v>8000</v>
      </c>
      <c r="F23" s="21"/>
      <c r="G23" s="0" t="n">
        <f aca="false">IF(D23="Mono&amp;Dual",MIN(E23,F23)*2,MIN(E23,F23))</f>
        <v>8000</v>
      </c>
    </row>
    <row r="24" customFormat="false" ht="15" hidden="false" customHeight="false" outlineLevel="0" collapsed="false">
      <c r="A24" s="16" t="n">
        <v>4</v>
      </c>
      <c r="B24" s="17" t="n">
        <v>20</v>
      </c>
      <c r="C24" s="17" t="s">
        <v>217</v>
      </c>
      <c r="D24" s="17" t="s">
        <v>36</v>
      </c>
      <c r="E24" s="17"/>
      <c r="F24" s="18" t="n">
        <v>2000</v>
      </c>
      <c r="G24" s="0" t="n">
        <f aca="false">IF(D24="Mono&amp;Dual",MIN(E24,F24)*2,MIN(E24,F24))</f>
        <v>2000</v>
      </c>
    </row>
    <row r="25" customFormat="false" ht="15" hidden="false" customHeight="false" outlineLevel="0" collapsed="false">
      <c r="A25" s="19" t="n">
        <v>4</v>
      </c>
      <c r="B25" s="20" t="n">
        <v>20</v>
      </c>
      <c r="C25" s="20" t="s">
        <v>218</v>
      </c>
      <c r="D25" s="20" t="s">
        <v>36</v>
      </c>
      <c r="E25" s="20"/>
      <c r="F25" s="21" t="n">
        <v>18000</v>
      </c>
      <c r="G25" s="0" t="n">
        <f aca="false">IF(D25="Mono&amp;Dual",MIN(E25,F25)*2,MIN(E25,F25))</f>
        <v>18000</v>
      </c>
    </row>
    <row r="26" customFormat="false" ht="15" hidden="false" customHeight="false" outlineLevel="0" collapsed="false">
      <c r="A26" s="16" t="n">
        <v>4</v>
      </c>
      <c r="B26" s="17" t="n">
        <v>20</v>
      </c>
      <c r="C26" s="17" t="s">
        <v>219</v>
      </c>
      <c r="D26" s="17" t="s">
        <v>36</v>
      </c>
      <c r="E26" s="17"/>
      <c r="F26" s="18" t="n">
        <v>4000</v>
      </c>
      <c r="G26" s="0" t="n">
        <f aca="false">IF(D26="Mono&amp;Dual",MIN(E26,F26)*2,MIN(E26,F26))</f>
        <v>4000</v>
      </c>
    </row>
    <row r="27" customFormat="false" ht="15" hidden="false" customHeight="false" outlineLevel="0" collapsed="false">
      <c r="A27" s="19" t="n">
        <v>4</v>
      </c>
      <c r="B27" s="20" t="n">
        <v>30</v>
      </c>
      <c r="C27" s="20" t="s">
        <v>215</v>
      </c>
      <c r="D27" s="20" t="s">
        <v>32</v>
      </c>
      <c r="E27" s="20" t="n">
        <v>1000</v>
      </c>
      <c r="F27" s="21"/>
      <c r="G27" s="0" t="n">
        <f aca="false">IF(D27="Mono&amp;Dual",MIN(E27,F27)*2,MIN(E27,F27))</f>
        <v>1000</v>
      </c>
    </row>
    <row r="28" customFormat="false" ht="15" hidden="false" customHeight="false" outlineLevel="0" collapsed="false">
      <c r="A28" s="16" t="n">
        <v>4</v>
      </c>
      <c r="B28" s="17" t="n">
        <v>30</v>
      </c>
      <c r="C28" s="17" t="s">
        <v>216</v>
      </c>
      <c r="D28" s="17" t="s">
        <v>32</v>
      </c>
      <c r="E28" s="17" t="n">
        <v>1000</v>
      </c>
      <c r="F28" s="18"/>
      <c r="G28" s="0" t="n">
        <f aca="false">IF(D28="Mono&amp;Dual",MIN(E28,F28)*2,MIN(E28,F28))</f>
        <v>1000</v>
      </c>
    </row>
    <row r="29" customFormat="false" ht="15" hidden="false" customHeight="false" outlineLevel="0" collapsed="false">
      <c r="A29" s="19" t="n">
        <v>4</v>
      </c>
      <c r="B29" s="20" t="n">
        <v>30</v>
      </c>
      <c r="C29" s="20" t="s">
        <v>223</v>
      </c>
      <c r="D29" s="20" t="s">
        <v>32</v>
      </c>
      <c r="E29" s="20" t="n">
        <v>1000</v>
      </c>
      <c r="F29" s="21"/>
      <c r="G29" s="0" t="n">
        <f aca="false">IF(D29="Mono&amp;Dual",MIN(E29,F29)*2,MIN(E29,F29))</f>
        <v>1000</v>
      </c>
    </row>
    <row r="30" customFormat="false" ht="15" hidden="false" customHeight="false" outlineLevel="0" collapsed="false">
      <c r="A30" s="16" t="n">
        <v>4</v>
      </c>
      <c r="B30" s="17" t="n">
        <v>30</v>
      </c>
      <c r="C30" s="17" t="s">
        <v>224</v>
      </c>
      <c r="D30" s="17" t="s">
        <v>32</v>
      </c>
      <c r="E30" s="17" t="n">
        <v>1000</v>
      </c>
      <c r="F30" s="18"/>
      <c r="G30" s="0" t="n">
        <f aca="false">IF(D30="Mono&amp;Dual",MIN(E30,F30)*2,MIN(E30,F30))</f>
        <v>1000</v>
      </c>
    </row>
    <row r="31" customFormat="false" ht="15" hidden="false" customHeight="false" outlineLevel="0" collapsed="false">
      <c r="A31" s="19" t="n">
        <v>4</v>
      </c>
      <c r="B31" s="20" t="n">
        <v>30</v>
      </c>
      <c r="C31" s="20" t="s">
        <v>231</v>
      </c>
      <c r="D31" s="20" t="s">
        <v>32</v>
      </c>
      <c r="E31" s="20" t="n">
        <v>1000</v>
      </c>
      <c r="F31" s="21"/>
      <c r="G31" s="0" t="n">
        <f aca="false">IF(D31="Mono&amp;Dual",MIN(E31,F31)*2,MIN(E31,F31))</f>
        <v>1000</v>
      </c>
    </row>
    <row r="32" customFormat="false" ht="15" hidden="false" customHeight="false" outlineLevel="0" collapsed="false">
      <c r="A32" s="16" t="n">
        <v>4</v>
      </c>
      <c r="B32" s="17" t="n">
        <v>30</v>
      </c>
      <c r="C32" s="17" t="s">
        <v>232</v>
      </c>
      <c r="D32" s="17" t="s">
        <v>32</v>
      </c>
      <c r="E32" s="17" t="n">
        <v>1000</v>
      </c>
      <c r="F32" s="18"/>
      <c r="G32" s="0" t="n">
        <f aca="false">IF(D32="Mono&amp;Dual",MIN(E32,F32)*2,MIN(E32,F32))</f>
        <v>1000</v>
      </c>
    </row>
    <row r="33" customFormat="false" ht="15" hidden="false" customHeight="false" outlineLevel="0" collapsed="false">
      <c r="A33" s="19" t="n">
        <v>4</v>
      </c>
      <c r="B33" s="20" t="n">
        <v>30</v>
      </c>
      <c r="C33" s="20" t="s">
        <v>233</v>
      </c>
      <c r="D33" s="20" t="s">
        <v>32</v>
      </c>
      <c r="E33" s="20" t="n">
        <v>1000</v>
      </c>
      <c r="F33" s="21"/>
      <c r="G33" s="0" t="n">
        <f aca="false">IF(D33="Mono&amp;Dual",MIN(E33,F33)*2,MIN(E33,F33))</f>
        <v>1000</v>
      </c>
    </row>
    <row r="34" customFormat="false" ht="15" hidden="false" customHeight="false" outlineLevel="0" collapsed="false">
      <c r="A34" s="16" t="n">
        <v>4</v>
      </c>
      <c r="B34" s="17" t="n">
        <v>30</v>
      </c>
      <c r="C34" s="17" t="s">
        <v>234</v>
      </c>
      <c r="D34" s="17" t="s">
        <v>32</v>
      </c>
      <c r="E34" s="17" t="n">
        <v>1000</v>
      </c>
      <c r="F34" s="18"/>
      <c r="G34" s="0" t="n">
        <f aca="false">IF(D34="Mono&amp;Dual",MIN(E34,F34)*2,MIN(E34,F34))</f>
        <v>1000</v>
      </c>
    </row>
    <row r="35" customFormat="false" ht="15" hidden="false" customHeight="false" outlineLevel="0" collapsed="false">
      <c r="A35" s="19" t="n">
        <v>4</v>
      </c>
      <c r="B35" s="20" t="n">
        <v>30</v>
      </c>
      <c r="C35" s="20" t="s">
        <v>235</v>
      </c>
      <c r="D35" s="20" t="s">
        <v>32</v>
      </c>
      <c r="E35" s="20" t="n">
        <v>1000</v>
      </c>
      <c r="F35" s="21"/>
      <c r="G35" s="0" t="n">
        <f aca="false">IF(D35="Mono&amp;Dual",MIN(E35,F35)*2,MIN(E35,F35))</f>
        <v>1000</v>
      </c>
    </row>
    <row r="36" customFormat="false" ht="15" hidden="false" customHeight="false" outlineLevel="0" collapsed="false">
      <c r="A36" s="16" t="n">
        <v>4</v>
      </c>
      <c r="B36" s="17" t="n">
        <v>30</v>
      </c>
      <c r="C36" s="17" t="s">
        <v>236</v>
      </c>
      <c r="D36" s="17" t="s">
        <v>32</v>
      </c>
      <c r="E36" s="17" t="n">
        <v>1000</v>
      </c>
      <c r="F36" s="18"/>
      <c r="G36" s="0" t="n">
        <f aca="false">IF(D36="Mono&amp;Dual",MIN(E36,F36)*2,MIN(E36,F36))</f>
        <v>1000</v>
      </c>
    </row>
    <row r="37" customFormat="false" ht="15" hidden="false" customHeight="false" outlineLevel="0" collapsed="false">
      <c r="A37" s="19" t="n">
        <v>4</v>
      </c>
      <c r="B37" s="20" t="n">
        <v>30</v>
      </c>
      <c r="C37" s="20" t="s">
        <v>237</v>
      </c>
      <c r="D37" s="20" t="s">
        <v>32</v>
      </c>
      <c r="E37" s="20" t="n">
        <v>1000</v>
      </c>
      <c r="F37" s="21"/>
      <c r="G37" s="0" t="n">
        <f aca="false">IF(D37="Mono&amp;Dual",MIN(E37,F37)*2,MIN(E37,F37))</f>
        <v>1000</v>
      </c>
    </row>
    <row r="38" customFormat="false" ht="15" hidden="false" customHeight="false" outlineLevel="0" collapsed="false">
      <c r="A38" s="16" t="n">
        <v>4</v>
      </c>
      <c r="B38" s="17" t="n">
        <v>30</v>
      </c>
      <c r="C38" s="17" t="s">
        <v>238</v>
      </c>
      <c r="D38" s="17" t="s">
        <v>32</v>
      </c>
      <c r="E38" s="17" t="n">
        <v>25000</v>
      </c>
      <c r="F38" s="18"/>
      <c r="G38" s="0" t="n">
        <f aca="false">IF(D38="Mono&amp;Dual",MIN(E38,F38)*2,MIN(E38,F38))</f>
        <v>25000</v>
      </c>
    </row>
    <row r="39" customFormat="false" ht="15" hidden="false" customHeight="false" outlineLevel="0" collapsed="false">
      <c r="A39" s="19" t="n">
        <v>4</v>
      </c>
      <c r="B39" s="20" t="n">
        <v>30</v>
      </c>
      <c r="C39" s="20" t="s">
        <v>239</v>
      </c>
      <c r="D39" s="20" t="s">
        <v>36</v>
      </c>
      <c r="E39" s="20"/>
      <c r="F39" s="21" t="n">
        <v>20000</v>
      </c>
      <c r="G39" s="0" t="n">
        <f aca="false">IF(D39="Mono&amp;Dual",MIN(E39,F39)*2,MIN(E39,F39))</f>
        <v>20000</v>
      </c>
    </row>
    <row r="40" customFormat="false" ht="15" hidden="false" customHeight="false" outlineLevel="0" collapsed="false">
      <c r="A40" s="16" t="n">
        <v>4</v>
      </c>
      <c r="B40" s="17" t="n">
        <v>30</v>
      </c>
      <c r="C40" s="17" t="s">
        <v>240</v>
      </c>
      <c r="D40" s="17" t="s">
        <v>36</v>
      </c>
      <c r="E40" s="17"/>
      <c r="F40" s="18" t="n">
        <v>1600</v>
      </c>
      <c r="G40" s="0" t="n">
        <f aca="false">IF(D40="Mono&amp;Dual",MIN(E40,F40)*2,MIN(E40,F40))</f>
        <v>1600</v>
      </c>
    </row>
    <row r="41" customFormat="false" ht="15" hidden="false" customHeight="false" outlineLevel="0" collapsed="false">
      <c r="A41" s="19" t="n">
        <v>4</v>
      </c>
      <c r="B41" s="20" t="n">
        <v>30</v>
      </c>
      <c r="C41" s="20" t="s">
        <v>241</v>
      </c>
      <c r="D41" s="20" t="s">
        <v>36</v>
      </c>
      <c r="E41" s="20"/>
      <c r="F41" s="21" t="n">
        <v>1600</v>
      </c>
      <c r="G41" s="0" t="n">
        <f aca="false">IF(D41="Mono&amp;Dual",MIN(E41,F41)*2,MIN(E41,F41))</f>
        <v>1600</v>
      </c>
    </row>
    <row r="42" customFormat="false" ht="15" hidden="false" customHeight="false" outlineLevel="0" collapsed="false">
      <c r="A42" s="16" t="n">
        <v>4</v>
      </c>
      <c r="B42" s="17" t="n">
        <v>30</v>
      </c>
      <c r="C42" s="17" t="s">
        <v>242</v>
      </c>
      <c r="D42" s="17" t="s">
        <v>36</v>
      </c>
      <c r="E42" s="17"/>
      <c r="F42" s="18" t="n">
        <v>1600</v>
      </c>
      <c r="G42" s="0" t="n">
        <f aca="false">IF(D42="Mono&amp;Dual",MIN(E42,F42)*2,MIN(E42,F42))</f>
        <v>1600</v>
      </c>
    </row>
    <row r="43" customFormat="false" ht="15" hidden="false" customHeight="false" outlineLevel="0" collapsed="false">
      <c r="A43" s="19" t="n">
        <v>4</v>
      </c>
      <c r="B43" s="20" t="n">
        <v>30</v>
      </c>
      <c r="C43" s="20" t="s">
        <v>243</v>
      </c>
      <c r="D43" s="20" t="s">
        <v>36</v>
      </c>
      <c r="E43" s="20"/>
      <c r="F43" s="21" t="n">
        <v>1600</v>
      </c>
      <c r="G43" s="0" t="n">
        <f aca="false">IF(D43="Mono&amp;Dual",MIN(E43,F43)*2,MIN(E43,F43))</f>
        <v>1600</v>
      </c>
    </row>
    <row r="44" customFormat="false" ht="15" hidden="false" customHeight="false" outlineLevel="0" collapsed="false">
      <c r="A44" s="16" t="n">
        <v>4</v>
      </c>
      <c r="B44" s="17" t="n">
        <v>30</v>
      </c>
      <c r="C44" s="17" t="s">
        <v>244</v>
      </c>
      <c r="D44" s="17" t="s">
        <v>36</v>
      </c>
      <c r="E44" s="17"/>
      <c r="F44" s="18" t="n">
        <v>1600</v>
      </c>
      <c r="G44" s="0" t="n">
        <f aca="false">IF(D44="Mono&amp;Dual",MIN(E44,F44)*2,MIN(E44,F44))</f>
        <v>1600</v>
      </c>
    </row>
    <row r="45" customFormat="false" ht="15" hidden="false" customHeight="false" outlineLevel="0" collapsed="false">
      <c r="A45" s="19" t="n">
        <v>4</v>
      </c>
      <c r="B45" s="20" t="n">
        <v>30</v>
      </c>
      <c r="C45" s="20" t="s">
        <v>245</v>
      </c>
      <c r="D45" s="20" t="s">
        <v>36</v>
      </c>
      <c r="E45" s="20"/>
      <c r="F45" s="21" t="n">
        <v>1600</v>
      </c>
      <c r="G45" s="0" t="n">
        <f aca="false">IF(D45="Mono&amp;Dual",MIN(E45,F45)*2,MIN(E45,F45))</f>
        <v>1600</v>
      </c>
    </row>
    <row r="46" customFormat="false" ht="15" hidden="false" customHeight="false" outlineLevel="0" collapsed="false">
      <c r="A46" s="16" t="n">
        <v>4</v>
      </c>
      <c r="B46" s="17" t="n">
        <v>30</v>
      </c>
      <c r="C46" s="17" t="s">
        <v>246</v>
      </c>
      <c r="D46" s="17" t="s">
        <v>36</v>
      </c>
      <c r="E46" s="17"/>
      <c r="F46" s="18" t="n">
        <v>1600</v>
      </c>
      <c r="G46" s="0" t="n">
        <f aca="false">IF(D46="Mono&amp;Dual",MIN(E46,F46)*2,MIN(E46,F46))</f>
        <v>1600</v>
      </c>
    </row>
    <row r="47" customFormat="false" ht="15" hidden="false" customHeight="false" outlineLevel="0" collapsed="false">
      <c r="A47" s="19" t="n">
        <v>4</v>
      </c>
      <c r="B47" s="20" t="n">
        <v>30</v>
      </c>
      <c r="C47" s="20" t="s">
        <v>295</v>
      </c>
      <c r="D47" s="20" t="s">
        <v>36</v>
      </c>
      <c r="E47" s="20"/>
      <c r="F47" s="21" t="n">
        <v>1600</v>
      </c>
      <c r="G47" s="0" t="n">
        <f aca="false">IF(D47="Mono&amp;Dual",MIN(E47,F47)*2,MIN(E47,F47))</f>
        <v>1600</v>
      </c>
    </row>
    <row r="48" customFormat="false" ht="15" hidden="false" customHeight="false" outlineLevel="0" collapsed="false">
      <c r="A48" s="16" t="n">
        <v>4</v>
      </c>
      <c r="B48" s="17" t="n">
        <v>30</v>
      </c>
      <c r="C48" s="17" t="s">
        <v>296</v>
      </c>
      <c r="D48" s="17" t="s">
        <v>36</v>
      </c>
      <c r="E48" s="17"/>
      <c r="F48" s="18" t="n">
        <v>1600</v>
      </c>
      <c r="G48" s="0" t="n">
        <f aca="false">IF(D48="Mono&amp;Dual",MIN(E48,F48)*2,MIN(E48,F48))</f>
        <v>1600</v>
      </c>
    </row>
    <row r="49" customFormat="false" ht="15" hidden="false" customHeight="false" outlineLevel="0" collapsed="false">
      <c r="A49" s="19" t="n">
        <v>4</v>
      </c>
      <c r="B49" s="20" t="n">
        <v>30</v>
      </c>
      <c r="C49" s="20" t="s">
        <v>297</v>
      </c>
      <c r="D49" s="20" t="s">
        <v>36</v>
      </c>
      <c r="E49" s="20"/>
      <c r="F49" s="21" t="n">
        <v>1600</v>
      </c>
      <c r="G49" s="0" t="n">
        <f aca="false">IF(D49="Mono&amp;Dual",MIN(E49,F49)*2,MIN(E49,F49))</f>
        <v>1600</v>
      </c>
    </row>
    <row r="50" customFormat="false" ht="15" hidden="false" customHeight="false" outlineLevel="0" collapsed="false">
      <c r="A50" s="16" t="n">
        <v>4</v>
      </c>
      <c r="B50" s="17" t="n">
        <v>30</v>
      </c>
      <c r="C50" s="17" t="s">
        <v>298</v>
      </c>
      <c r="D50" s="17" t="s">
        <v>36</v>
      </c>
      <c r="E50" s="17"/>
      <c r="F50" s="18" t="n">
        <v>1600</v>
      </c>
      <c r="G50" s="0" t="n">
        <f aca="false">IF(D50="Mono&amp;Dual",MIN(E50,F50)*2,MIN(E50,F50))</f>
        <v>1600</v>
      </c>
    </row>
    <row r="51" customFormat="false" ht="15" hidden="false" customHeight="false" outlineLevel="0" collapsed="false">
      <c r="A51" s="19" t="n">
        <v>4</v>
      </c>
      <c r="B51" s="20" t="n">
        <v>30</v>
      </c>
      <c r="C51" s="20" t="s">
        <v>299</v>
      </c>
      <c r="D51" s="20" t="s">
        <v>36</v>
      </c>
      <c r="E51" s="20"/>
      <c r="F51" s="21" t="n">
        <v>1500</v>
      </c>
      <c r="G51" s="0" t="n">
        <f aca="false">IF(D51="Mono&amp;Dual",MIN(E51,F51)*2,MIN(E51,F51))</f>
        <v>1500</v>
      </c>
    </row>
    <row r="52" customFormat="false" ht="15" hidden="false" customHeight="false" outlineLevel="0" collapsed="false">
      <c r="A52" s="16" t="n">
        <v>4</v>
      </c>
      <c r="B52" s="17" t="n">
        <v>30</v>
      </c>
      <c r="C52" s="17" t="s">
        <v>300</v>
      </c>
      <c r="D52" s="17" t="s">
        <v>36</v>
      </c>
      <c r="E52" s="17"/>
      <c r="F52" s="18" t="n">
        <v>1500</v>
      </c>
      <c r="G52" s="0" t="n">
        <f aca="false">IF(D52="Mono&amp;Dual",MIN(E52,F52)*2,MIN(E52,F52))</f>
        <v>1500</v>
      </c>
    </row>
    <row r="53" customFormat="false" ht="15" hidden="false" customHeight="false" outlineLevel="0" collapsed="false">
      <c r="A53" s="19" t="n">
        <v>4</v>
      </c>
      <c r="B53" s="20" t="n">
        <v>30</v>
      </c>
      <c r="C53" s="20" t="s">
        <v>301</v>
      </c>
      <c r="D53" s="20" t="s">
        <v>36</v>
      </c>
      <c r="E53" s="20"/>
      <c r="F53" s="21" t="n">
        <v>1500</v>
      </c>
      <c r="G53" s="0" t="n">
        <f aca="false">IF(D53="Mono&amp;Dual",MIN(E53,F53)*2,MIN(E53,F53))</f>
        <v>1500</v>
      </c>
    </row>
    <row r="54" customFormat="false" ht="15" hidden="false" customHeight="false" outlineLevel="0" collapsed="false">
      <c r="A54" s="16" t="n">
        <v>4</v>
      </c>
      <c r="B54" s="17" t="n">
        <v>30</v>
      </c>
      <c r="C54" s="17" t="s">
        <v>302</v>
      </c>
      <c r="D54" s="17" t="s">
        <v>36</v>
      </c>
      <c r="E54" s="17"/>
      <c r="F54" s="18" t="n">
        <v>1500</v>
      </c>
      <c r="G54" s="0" t="n">
        <f aca="false">IF(D54="Mono&amp;Dual",MIN(E54,F54)*2,MIN(E54,F54))</f>
        <v>1500</v>
      </c>
    </row>
    <row r="55" customFormat="false" ht="15" hidden="false" customHeight="false" outlineLevel="0" collapsed="false">
      <c r="A55" s="19" t="n">
        <v>4</v>
      </c>
      <c r="B55" s="20" t="n">
        <v>30</v>
      </c>
      <c r="C55" s="20" t="s">
        <v>303</v>
      </c>
      <c r="D55" s="20" t="s">
        <v>36</v>
      </c>
      <c r="E55" s="20"/>
      <c r="F55" s="21" t="n">
        <v>1500</v>
      </c>
      <c r="G55" s="0" t="n">
        <f aca="false">IF(D55="Mono&amp;Dual",MIN(E55,F55)*2,MIN(E55,F55))</f>
        <v>1500</v>
      </c>
    </row>
    <row r="56" customFormat="false" ht="15" hidden="false" customHeight="false" outlineLevel="0" collapsed="false">
      <c r="A56" s="16" t="n">
        <v>4</v>
      </c>
      <c r="B56" s="17" t="n">
        <v>30</v>
      </c>
      <c r="C56" s="17" t="s">
        <v>304</v>
      </c>
      <c r="D56" s="17" t="s">
        <v>36</v>
      </c>
      <c r="E56" s="17"/>
      <c r="F56" s="18" t="n">
        <v>1500</v>
      </c>
      <c r="G56" s="0" t="n">
        <f aca="false">IF(D56="Mono&amp;Dual",MIN(E56,F56)*2,MIN(E56,F56))</f>
        <v>1500</v>
      </c>
    </row>
    <row r="57" customFormat="false" ht="15" hidden="false" customHeight="false" outlineLevel="0" collapsed="false">
      <c r="A57" s="19" t="n">
        <v>4</v>
      </c>
      <c r="B57" s="20" t="n">
        <v>50</v>
      </c>
      <c r="C57" s="20" t="s">
        <v>215</v>
      </c>
      <c r="D57" s="20" t="s">
        <v>211</v>
      </c>
      <c r="E57" s="20" t="n">
        <v>1000</v>
      </c>
      <c r="F57" s="21" t="n">
        <v>24000</v>
      </c>
      <c r="G57" s="0" t="n">
        <f aca="false">IF(D57="Mono&amp;Dual",MIN(E57,F57)*2,MIN(E57,F57))</f>
        <v>2000</v>
      </c>
    </row>
    <row r="58" customFormat="false" ht="15" hidden="false" customHeight="false" outlineLevel="0" collapsed="false">
      <c r="A58" s="16" t="n">
        <v>4</v>
      </c>
      <c r="B58" s="17" t="n">
        <v>50</v>
      </c>
      <c r="C58" s="17" t="s">
        <v>216</v>
      </c>
      <c r="D58" s="17" t="s">
        <v>211</v>
      </c>
      <c r="E58" s="17" t="n">
        <v>30000</v>
      </c>
      <c r="F58" s="18" t="n">
        <v>2000</v>
      </c>
      <c r="G58" s="0" t="n">
        <f aca="false">IF(D58="Mono&amp;Dual",MIN(E58,F58)*2,MIN(E58,F58))</f>
        <v>4000</v>
      </c>
    </row>
    <row r="59" customFormat="false" ht="15" hidden="false" customHeight="false" outlineLevel="0" collapsed="false">
      <c r="A59" s="19" t="n">
        <v>4</v>
      </c>
      <c r="B59" s="20" t="n">
        <v>50</v>
      </c>
      <c r="C59" s="20" t="s">
        <v>223</v>
      </c>
      <c r="D59" s="20" t="s">
        <v>211</v>
      </c>
      <c r="E59" s="20" t="n">
        <v>2000</v>
      </c>
      <c r="F59" s="21" t="n">
        <v>20000</v>
      </c>
      <c r="G59" s="0" t="n">
        <f aca="false">IF(D59="Mono&amp;Dual",MIN(E59,F59)*2,MIN(E59,F59))</f>
        <v>4000</v>
      </c>
    </row>
    <row r="60" customFormat="false" ht="15" hidden="false" customHeight="false" outlineLevel="0" collapsed="false">
      <c r="A60" s="16" t="n">
        <v>4</v>
      </c>
      <c r="B60" s="17" t="n">
        <v>50</v>
      </c>
      <c r="C60" s="17" t="s">
        <v>224</v>
      </c>
      <c r="D60" s="17" t="s">
        <v>211</v>
      </c>
      <c r="E60" s="17" t="n">
        <v>25000</v>
      </c>
      <c r="F60" s="18" t="n">
        <v>1600</v>
      </c>
      <c r="G60" s="0" t="n">
        <f aca="false">IF(D60="Mono&amp;Dual",MIN(E60,F60)*2,MIN(E60,F60))</f>
        <v>3200</v>
      </c>
    </row>
    <row r="61" customFormat="false" ht="15" hidden="false" customHeight="false" outlineLevel="0" collapsed="false">
      <c r="A61" s="19" t="n">
        <v>4</v>
      </c>
      <c r="B61" s="20" t="n">
        <v>50</v>
      </c>
      <c r="C61" s="20" t="s">
        <v>231</v>
      </c>
      <c r="D61" s="20" t="s">
        <v>211</v>
      </c>
      <c r="E61" s="20" t="n">
        <v>1000</v>
      </c>
      <c r="F61" s="21" t="n">
        <v>16000</v>
      </c>
      <c r="G61" s="0" t="n">
        <f aca="false">IF(D61="Mono&amp;Dual",MIN(E61,F61)*2,MIN(E61,F61))</f>
        <v>2000</v>
      </c>
    </row>
    <row r="62" customFormat="false" ht="15" hidden="false" customHeight="false" outlineLevel="0" collapsed="false">
      <c r="A62" s="16" t="n">
        <v>4</v>
      </c>
      <c r="B62" s="17" t="n">
        <v>50</v>
      </c>
      <c r="C62" s="17" t="s">
        <v>232</v>
      </c>
      <c r="D62" s="17" t="s">
        <v>211</v>
      </c>
      <c r="E62" s="17" t="n">
        <v>20000</v>
      </c>
      <c r="F62" s="18" t="n">
        <v>1600</v>
      </c>
      <c r="G62" s="0" t="n">
        <f aca="false">IF(D62="Mono&amp;Dual",MIN(E62,F62)*2,MIN(E62,F62))</f>
        <v>3200</v>
      </c>
    </row>
    <row r="63" customFormat="false" ht="15" hidden="false" customHeight="false" outlineLevel="0" collapsed="false">
      <c r="A63" s="19" t="n">
        <v>4</v>
      </c>
      <c r="B63" s="20" t="n">
        <v>50</v>
      </c>
      <c r="C63" s="20" t="s">
        <v>233</v>
      </c>
      <c r="D63" s="20" t="s">
        <v>211</v>
      </c>
      <c r="E63" s="20" t="n">
        <v>3000</v>
      </c>
      <c r="F63" s="21" t="n">
        <v>14000</v>
      </c>
      <c r="G63" s="0" t="n">
        <f aca="false">IF(D63="Mono&amp;Dual",MIN(E63,F63)*2,MIN(E63,F63))</f>
        <v>6000</v>
      </c>
    </row>
    <row r="64" customFormat="false" ht="15" hidden="false" customHeight="false" outlineLevel="0" collapsed="false">
      <c r="A64" s="16" t="n">
        <v>4</v>
      </c>
      <c r="B64" s="17" t="n">
        <v>50</v>
      </c>
      <c r="C64" s="17" t="s">
        <v>234</v>
      </c>
      <c r="D64" s="17" t="s">
        <v>211</v>
      </c>
      <c r="E64" s="17" t="n">
        <v>18000</v>
      </c>
      <c r="F64" s="18" t="n">
        <v>4000</v>
      </c>
      <c r="G64" s="0" t="n">
        <f aca="false">IF(D64="Mono&amp;Dual",MIN(E64,F64)*2,MIN(E64,F64))</f>
        <v>8000</v>
      </c>
    </row>
    <row r="65" customFormat="false" ht="15" hidden="false" customHeight="false" outlineLevel="0" collapsed="false">
      <c r="A65" s="19" t="n">
        <v>4</v>
      </c>
      <c r="B65" s="20" t="n">
        <v>50</v>
      </c>
      <c r="C65" s="20" t="s">
        <v>235</v>
      </c>
      <c r="D65" s="20" t="s">
        <v>211</v>
      </c>
      <c r="E65" s="20" t="n">
        <v>1000</v>
      </c>
      <c r="F65" s="21" t="n">
        <v>12000</v>
      </c>
      <c r="G65" s="0" t="n">
        <f aca="false">IF(D65="Mono&amp;Dual",MIN(E65,F65)*2,MIN(E65,F65))</f>
        <v>2000</v>
      </c>
    </row>
    <row r="66" customFormat="false" ht="15" hidden="false" customHeight="false" outlineLevel="0" collapsed="false">
      <c r="A66" s="16" t="n">
        <v>4</v>
      </c>
      <c r="B66" s="17" t="n">
        <v>50</v>
      </c>
      <c r="C66" s="17" t="s">
        <v>236</v>
      </c>
      <c r="D66" s="17" t="s">
        <v>211</v>
      </c>
      <c r="E66" s="17" t="n">
        <v>15000</v>
      </c>
      <c r="F66" s="18" t="n">
        <v>2400</v>
      </c>
      <c r="G66" s="0" t="n">
        <f aca="false">IF(D66="Mono&amp;Dual",MIN(E66,F66)*2,MIN(E66,F66))</f>
        <v>4800</v>
      </c>
    </row>
    <row r="67" customFormat="false" ht="15" hidden="false" customHeight="false" outlineLevel="0" collapsed="false">
      <c r="A67" s="19" t="n">
        <v>4</v>
      </c>
      <c r="B67" s="20" t="n">
        <v>50</v>
      </c>
      <c r="C67" s="20" t="s">
        <v>237</v>
      </c>
      <c r="D67" s="20" t="s">
        <v>211</v>
      </c>
      <c r="E67" s="20" t="n">
        <v>2000</v>
      </c>
      <c r="F67" s="21" t="n">
        <v>10000</v>
      </c>
      <c r="G67" s="0" t="n">
        <f aca="false">IF(D67="Mono&amp;Dual",MIN(E67,F67)*2,MIN(E67,F67))</f>
        <v>4000</v>
      </c>
    </row>
    <row r="68" customFormat="false" ht="15" hidden="false" customHeight="false" outlineLevel="0" collapsed="false">
      <c r="A68" s="16" t="n">
        <v>4</v>
      </c>
      <c r="B68" s="17" t="n">
        <v>50</v>
      </c>
      <c r="C68" s="17" t="s">
        <v>238</v>
      </c>
      <c r="D68" s="17" t="s">
        <v>211</v>
      </c>
      <c r="E68" s="17" t="n">
        <v>28000</v>
      </c>
      <c r="F68" s="18" t="n">
        <v>2000</v>
      </c>
      <c r="G68" s="0" t="n">
        <f aca="false">IF(D68="Mono&amp;Dual",MIN(E68,F68)*2,MIN(E68,F68))</f>
        <v>4000</v>
      </c>
    </row>
    <row r="69" customFormat="false" ht="15" hidden="false" customHeight="false" outlineLevel="0" collapsed="false">
      <c r="A69" s="19" t="n">
        <v>4</v>
      </c>
      <c r="B69" s="20" t="n">
        <v>50</v>
      </c>
      <c r="C69" s="20" t="s">
        <v>239</v>
      </c>
      <c r="D69" s="20" t="s">
        <v>211</v>
      </c>
      <c r="E69" s="20" t="n">
        <v>1000</v>
      </c>
      <c r="F69" s="21" t="n">
        <v>8000</v>
      </c>
      <c r="G69" s="0" t="n">
        <f aca="false">IF(D69="Mono&amp;Dual",MIN(E69,F69)*2,MIN(E69,F69))</f>
        <v>2000</v>
      </c>
    </row>
    <row r="70" customFormat="false" ht="15" hidden="false" customHeight="false" outlineLevel="0" collapsed="false">
      <c r="A70" s="16" t="n">
        <v>4</v>
      </c>
      <c r="B70" s="17" t="n">
        <v>50</v>
      </c>
      <c r="C70" s="17" t="s">
        <v>240</v>
      </c>
      <c r="D70" s="17" t="s">
        <v>211</v>
      </c>
      <c r="E70" s="17" t="n">
        <v>24000</v>
      </c>
      <c r="F70" s="18" t="n">
        <v>1600</v>
      </c>
      <c r="G70" s="0" t="n">
        <f aca="false">IF(D70="Mono&amp;Dual",MIN(E70,F70)*2,MIN(E70,F70))</f>
        <v>3200</v>
      </c>
    </row>
    <row r="71" customFormat="false" ht="15" hidden="false" customHeight="false" outlineLevel="0" collapsed="false">
      <c r="A71" s="19" t="n">
        <v>4</v>
      </c>
      <c r="B71" s="20" t="n">
        <v>50</v>
      </c>
      <c r="C71" s="20" t="s">
        <v>241</v>
      </c>
      <c r="D71" s="20" t="s">
        <v>211</v>
      </c>
      <c r="E71" s="20" t="n">
        <v>1500</v>
      </c>
      <c r="F71" s="21" t="n">
        <v>6000</v>
      </c>
      <c r="G71" s="0" t="n">
        <f aca="false">IF(D71="Mono&amp;Dual",MIN(E71,F71)*2,MIN(E71,F71))</f>
        <v>3000</v>
      </c>
    </row>
    <row r="72" customFormat="false" ht="15" hidden="false" customHeight="false" outlineLevel="0" collapsed="false">
      <c r="A72" s="16" t="n">
        <v>4</v>
      </c>
      <c r="B72" s="17" t="n">
        <v>50</v>
      </c>
      <c r="C72" s="17" t="s">
        <v>242</v>
      </c>
      <c r="D72" s="17" t="s">
        <v>32</v>
      </c>
      <c r="E72" s="17" t="n">
        <v>1000</v>
      </c>
      <c r="F72" s="18"/>
      <c r="G72" s="0" t="n">
        <f aca="false">IF(D72="Mono&amp;Dual",MIN(E72,F72)*2,MIN(E72,F72))</f>
        <v>1000</v>
      </c>
    </row>
    <row r="73" customFormat="false" ht="15" hidden="false" customHeight="false" outlineLevel="0" collapsed="false">
      <c r="A73" s="19" t="n">
        <v>4</v>
      </c>
      <c r="B73" s="20" t="n">
        <v>50</v>
      </c>
      <c r="C73" s="20" t="s">
        <v>243</v>
      </c>
      <c r="D73" s="20" t="s">
        <v>32</v>
      </c>
      <c r="E73" s="20" t="n">
        <v>22000</v>
      </c>
      <c r="F73" s="21"/>
      <c r="G73" s="0" t="n">
        <f aca="false">IF(D73="Mono&amp;Dual",MIN(E73,F73)*2,MIN(E73,F73))</f>
        <v>22000</v>
      </c>
    </row>
    <row r="74" customFormat="false" ht="15" hidden="false" customHeight="false" outlineLevel="0" collapsed="false">
      <c r="A74" s="16" t="n">
        <v>4</v>
      </c>
      <c r="B74" s="17" t="n">
        <v>50</v>
      </c>
      <c r="C74" s="17" t="s">
        <v>244</v>
      </c>
      <c r="D74" s="17" t="s">
        <v>32</v>
      </c>
      <c r="E74" s="17" t="n">
        <v>1000</v>
      </c>
      <c r="F74" s="18"/>
      <c r="G74" s="0" t="n">
        <f aca="false">IF(D74="Mono&amp;Dual",MIN(E74,F74)*2,MIN(E74,F74))</f>
        <v>1000</v>
      </c>
    </row>
    <row r="75" customFormat="false" ht="15" hidden="false" customHeight="false" outlineLevel="0" collapsed="false">
      <c r="A75" s="19" t="n">
        <v>4</v>
      </c>
      <c r="B75" s="20" t="n">
        <v>50</v>
      </c>
      <c r="C75" s="20" t="s">
        <v>245</v>
      </c>
      <c r="D75" s="20" t="s">
        <v>32</v>
      </c>
      <c r="E75" s="20" t="n">
        <v>19000</v>
      </c>
      <c r="F75" s="21"/>
      <c r="G75" s="0" t="n">
        <f aca="false">IF(D75="Mono&amp;Dual",MIN(E75,F75)*2,MIN(E75,F75))</f>
        <v>19000</v>
      </c>
    </row>
    <row r="76" customFormat="false" ht="15" hidden="false" customHeight="false" outlineLevel="0" collapsed="false">
      <c r="A76" s="16" t="n">
        <v>4</v>
      </c>
      <c r="B76" s="17" t="n">
        <v>50</v>
      </c>
      <c r="C76" s="17" t="s">
        <v>246</v>
      </c>
      <c r="D76" s="17" t="s">
        <v>32</v>
      </c>
      <c r="E76" s="17" t="n">
        <v>3000</v>
      </c>
      <c r="F76" s="18"/>
      <c r="G76" s="0" t="n">
        <f aca="false">IF(D76="Mono&amp;Dual",MIN(E76,F76)*2,MIN(E76,F76))</f>
        <v>3000</v>
      </c>
    </row>
    <row r="77" customFormat="false" ht="15" hidden="false" customHeight="false" outlineLevel="0" collapsed="false">
      <c r="A77" s="19" t="n">
        <v>4</v>
      </c>
      <c r="B77" s="20" t="n">
        <v>50</v>
      </c>
      <c r="C77" s="20" t="s">
        <v>295</v>
      </c>
      <c r="D77" s="20" t="s">
        <v>32</v>
      </c>
      <c r="E77" s="20" t="n">
        <v>17000</v>
      </c>
      <c r="F77" s="21"/>
      <c r="G77" s="0" t="n">
        <f aca="false">IF(D77="Mono&amp;Dual",MIN(E77,F77)*2,MIN(E77,F77))</f>
        <v>17000</v>
      </c>
    </row>
    <row r="78" customFormat="false" ht="15" hidden="false" customHeight="false" outlineLevel="0" collapsed="false">
      <c r="A78" s="16" t="n">
        <v>4</v>
      </c>
      <c r="B78" s="17" t="n">
        <v>50</v>
      </c>
      <c r="C78" s="17" t="s">
        <v>296</v>
      </c>
      <c r="D78" s="17" t="s">
        <v>32</v>
      </c>
      <c r="E78" s="17" t="n">
        <v>1000</v>
      </c>
      <c r="F78" s="18"/>
      <c r="G78" s="0" t="n">
        <f aca="false">IF(D78="Mono&amp;Dual",MIN(E78,F78)*2,MIN(E78,F78))</f>
        <v>1000</v>
      </c>
    </row>
    <row r="79" customFormat="false" ht="15" hidden="false" customHeight="false" outlineLevel="0" collapsed="false">
      <c r="A79" s="19" t="n">
        <v>4</v>
      </c>
      <c r="B79" s="20" t="n">
        <v>50</v>
      </c>
      <c r="C79" s="20" t="s">
        <v>297</v>
      </c>
      <c r="D79" s="20" t="s">
        <v>32</v>
      </c>
      <c r="E79" s="20" t="n">
        <v>14000</v>
      </c>
      <c r="F79" s="21"/>
      <c r="G79" s="0" t="n">
        <f aca="false">IF(D79="Mono&amp;Dual",MIN(E79,F79)*2,MIN(E79,F79))</f>
        <v>14000</v>
      </c>
    </row>
    <row r="80" customFormat="false" ht="15" hidden="false" customHeight="false" outlineLevel="0" collapsed="false">
      <c r="A80" s="16" t="n">
        <v>4</v>
      </c>
      <c r="B80" s="17" t="n">
        <v>50</v>
      </c>
      <c r="C80" s="17" t="s">
        <v>298</v>
      </c>
      <c r="D80" s="17" t="s">
        <v>32</v>
      </c>
      <c r="E80" s="17" t="n">
        <v>2000</v>
      </c>
      <c r="F80" s="18"/>
      <c r="G80" s="0" t="n">
        <f aca="false">IF(D80="Mono&amp;Dual",MIN(E80,F80)*2,MIN(E80,F80))</f>
        <v>2000</v>
      </c>
    </row>
    <row r="81" customFormat="false" ht="15" hidden="false" customHeight="false" outlineLevel="0" collapsed="false">
      <c r="A81" s="19" t="n">
        <v>4</v>
      </c>
      <c r="B81" s="20" t="n">
        <v>50</v>
      </c>
      <c r="C81" s="20" t="s">
        <v>299</v>
      </c>
      <c r="D81" s="20" t="s">
        <v>32</v>
      </c>
      <c r="E81" s="20" t="n">
        <v>12000</v>
      </c>
      <c r="F81" s="21"/>
      <c r="G81" s="0" t="n">
        <f aca="false">IF(D81="Mono&amp;Dual",MIN(E81,F81)*2,MIN(E81,F81))</f>
        <v>12000</v>
      </c>
    </row>
    <row r="82" customFormat="false" ht="15" hidden="false" customHeight="false" outlineLevel="0" collapsed="false">
      <c r="A82" s="16" t="n">
        <v>4</v>
      </c>
      <c r="B82" s="17" t="n">
        <v>50</v>
      </c>
      <c r="C82" s="17" t="s">
        <v>300</v>
      </c>
      <c r="D82" s="17" t="s">
        <v>32</v>
      </c>
      <c r="E82" s="17" t="n">
        <v>1000</v>
      </c>
      <c r="F82" s="18"/>
      <c r="G82" s="0" t="n">
        <f aca="false">IF(D82="Mono&amp;Dual",MIN(E82,F82)*2,MIN(E82,F82))</f>
        <v>1000</v>
      </c>
    </row>
    <row r="83" customFormat="false" ht="15" hidden="false" customHeight="false" outlineLevel="0" collapsed="false">
      <c r="A83" s="19" t="n">
        <v>4</v>
      </c>
      <c r="B83" s="20" t="n">
        <v>50</v>
      </c>
      <c r="C83" s="20" t="s">
        <v>301</v>
      </c>
      <c r="D83" s="20" t="s">
        <v>32</v>
      </c>
      <c r="E83" s="20" t="n">
        <v>10000</v>
      </c>
      <c r="F83" s="21"/>
      <c r="G83" s="0" t="n">
        <f aca="false">IF(D83="Mono&amp;Dual",MIN(E83,F83)*2,MIN(E83,F83))</f>
        <v>10000</v>
      </c>
    </row>
    <row r="84" customFormat="false" ht="15" hidden="false" customHeight="false" outlineLevel="0" collapsed="false">
      <c r="A84" s="16" t="n">
        <v>4</v>
      </c>
      <c r="B84" s="17" t="n">
        <v>50</v>
      </c>
      <c r="C84" s="17" t="s">
        <v>302</v>
      </c>
      <c r="D84" s="17" t="s">
        <v>32</v>
      </c>
      <c r="E84" s="17" t="n">
        <v>2500</v>
      </c>
      <c r="F84" s="18"/>
      <c r="G84" s="0" t="n">
        <f aca="false">IF(D84="Mono&amp;Dual",MIN(E84,F84)*2,MIN(E84,F84))</f>
        <v>2500</v>
      </c>
    </row>
    <row r="85" customFormat="false" ht="15" hidden="false" customHeight="false" outlineLevel="0" collapsed="false">
      <c r="A85" s="19" t="n">
        <v>4</v>
      </c>
      <c r="B85" s="20" t="n">
        <v>50</v>
      </c>
      <c r="C85" s="20" t="s">
        <v>303</v>
      </c>
      <c r="D85" s="20" t="s">
        <v>32</v>
      </c>
      <c r="E85" s="20" t="n">
        <v>8000</v>
      </c>
      <c r="F85" s="21"/>
      <c r="G85" s="0" t="n">
        <f aca="false">IF(D85="Mono&amp;Dual",MIN(E85,F85)*2,MIN(E85,F85))</f>
        <v>8000</v>
      </c>
    </row>
    <row r="86" customFormat="false" ht="15" hidden="false" customHeight="false" outlineLevel="0" collapsed="false">
      <c r="A86" s="16" t="n">
        <v>4</v>
      </c>
      <c r="B86" s="17" t="n">
        <v>50</v>
      </c>
      <c r="C86" s="17" t="s">
        <v>304</v>
      </c>
      <c r="D86" s="17" t="s">
        <v>32</v>
      </c>
      <c r="E86" s="17" t="n">
        <v>1000</v>
      </c>
      <c r="F86" s="18"/>
      <c r="G86" s="0" t="n">
        <f aca="false">IF(D86="Mono&amp;Dual",MIN(E86,F86)*2,MIN(E86,F86))</f>
        <v>1000</v>
      </c>
    </row>
    <row r="87" customFormat="false" ht="15" hidden="false" customHeight="false" outlineLevel="0" collapsed="false">
      <c r="A87" s="19" t="n">
        <v>4</v>
      </c>
      <c r="B87" s="20" t="n">
        <v>50</v>
      </c>
      <c r="C87" s="20" t="s">
        <v>217</v>
      </c>
      <c r="D87" s="20" t="s">
        <v>36</v>
      </c>
      <c r="E87" s="20"/>
      <c r="F87" s="21" t="n">
        <v>2000</v>
      </c>
      <c r="G87" s="0" t="n">
        <f aca="false">IF(D87="Mono&amp;Dual",MIN(E87,F87)*2,MIN(E87,F87))</f>
        <v>2000</v>
      </c>
    </row>
    <row r="88" customFormat="false" ht="15" hidden="false" customHeight="false" outlineLevel="0" collapsed="false">
      <c r="A88" s="16" t="n">
        <v>4</v>
      </c>
      <c r="B88" s="17" t="n">
        <v>50</v>
      </c>
      <c r="C88" s="17" t="s">
        <v>218</v>
      </c>
      <c r="D88" s="17" t="s">
        <v>36</v>
      </c>
      <c r="E88" s="17"/>
      <c r="F88" s="18" t="n">
        <v>26000</v>
      </c>
      <c r="G88" s="0" t="n">
        <f aca="false">IF(D88="Mono&amp;Dual",MIN(E88,F88)*2,MIN(E88,F88))</f>
        <v>26000</v>
      </c>
    </row>
    <row r="89" customFormat="false" ht="15" hidden="false" customHeight="false" outlineLevel="0" collapsed="false">
      <c r="A89" s="19" t="n">
        <v>4</v>
      </c>
      <c r="B89" s="20" t="n">
        <v>50</v>
      </c>
      <c r="C89" s="20" t="s">
        <v>219</v>
      </c>
      <c r="D89" s="20" t="s">
        <v>36</v>
      </c>
      <c r="E89" s="20"/>
      <c r="F89" s="21" t="n">
        <v>4000</v>
      </c>
      <c r="G89" s="0" t="n">
        <f aca="false">IF(D89="Mono&amp;Dual",MIN(E89,F89)*2,MIN(E89,F89))</f>
        <v>4000</v>
      </c>
    </row>
    <row r="90" customFormat="false" ht="15" hidden="false" customHeight="false" outlineLevel="0" collapsed="false">
      <c r="A90" s="16" t="n">
        <v>4</v>
      </c>
      <c r="B90" s="17" t="n">
        <v>50</v>
      </c>
      <c r="C90" s="17" t="s">
        <v>220</v>
      </c>
      <c r="D90" s="17" t="s">
        <v>36</v>
      </c>
      <c r="E90" s="17"/>
      <c r="F90" s="18" t="n">
        <v>18000</v>
      </c>
      <c r="G90" s="0" t="n">
        <f aca="false">IF(D90="Mono&amp;Dual",MIN(E90,F90)*2,MIN(E90,F90))</f>
        <v>18000</v>
      </c>
    </row>
    <row r="91" customFormat="false" ht="15" hidden="false" customHeight="false" outlineLevel="0" collapsed="false">
      <c r="A91" s="19" t="n">
        <v>4</v>
      </c>
      <c r="B91" s="20" t="n">
        <v>50</v>
      </c>
      <c r="C91" s="20" t="s">
        <v>221</v>
      </c>
      <c r="D91" s="20" t="s">
        <v>36</v>
      </c>
      <c r="E91" s="20"/>
      <c r="F91" s="21" t="n">
        <v>2000</v>
      </c>
      <c r="G91" s="0" t="n">
        <f aca="false">IF(D91="Mono&amp;Dual",MIN(E91,F91)*2,MIN(E91,F91))</f>
        <v>2000</v>
      </c>
    </row>
    <row r="92" customFormat="false" ht="15" hidden="false" customHeight="false" outlineLevel="0" collapsed="false">
      <c r="A92" s="16" t="n">
        <v>4</v>
      </c>
      <c r="B92" s="17" t="n">
        <v>100</v>
      </c>
      <c r="C92" s="17" t="s">
        <v>238</v>
      </c>
      <c r="D92" s="17" t="s">
        <v>211</v>
      </c>
      <c r="E92" s="17" t="n">
        <v>500</v>
      </c>
      <c r="F92" s="18" t="n">
        <v>1600</v>
      </c>
      <c r="G92" s="0" t="n">
        <f aca="false">IF(D92="Mono&amp;Dual",MIN(E92,F92)*2,MIN(E92,F92))</f>
        <v>1000</v>
      </c>
    </row>
    <row r="93" customFormat="false" ht="15" hidden="false" customHeight="false" outlineLevel="0" collapsed="false">
      <c r="A93" s="19" t="n">
        <v>4</v>
      </c>
      <c r="B93" s="20" t="n">
        <v>100</v>
      </c>
      <c r="C93" s="20" t="s">
        <v>239</v>
      </c>
      <c r="D93" s="20" t="s">
        <v>211</v>
      </c>
      <c r="E93" s="20" t="n">
        <v>500</v>
      </c>
      <c r="F93" s="21" t="n">
        <v>1600</v>
      </c>
      <c r="G93" s="0" t="n">
        <f aca="false">IF(D93="Mono&amp;Dual",MIN(E93,F93)*2,MIN(E93,F93))</f>
        <v>1000</v>
      </c>
    </row>
    <row r="94" customFormat="false" ht="15" hidden="false" customHeight="false" outlineLevel="0" collapsed="false">
      <c r="A94" s="16" t="n">
        <v>4</v>
      </c>
      <c r="B94" s="17" t="n">
        <v>100</v>
      </c>
      <c r="C94" s="17" t="s">
        <v>240</v>
      </c>
      <c r="D94" s="17" t="s">
        <v>211</v>
      </c>
      <c r="E94" s="17" t="n">
        <v>500</v>
      </c>
      <c r="F94" s="18" t="n">
        <v>1600</v>
      </c>
      <c r="G94" s="0" t="n">
        <f aca="false">IF(D94="Mono&amp;Dual",MIN(E94,F94)*2,MIN(E94,F94))</f>
        <v>1000</v>
      </c>
    </row>
    <row r="95" customFormat="false" ht="15" hidden="false" customHeight="false" outlineLevel="0" collapsed="false">
      <c r="A95" s="19" t="n">
        <v>4</v>
      </c>
      <c r="B95" s="20" t="n">
        <v>100</v>
      </c>
      <c r="C95" s="20" t="s">
        <v>241</v>
      </c>
      <c r="D95" s="20" t="s">
        <v>211</v>
      </c>
      <c r="E95" s="20" t="n">
        <v>500</v>
      </c>
      <c r="F95" s="21" t="n">
        <v>1600</v>
      </c>
      <c r="G95" s="0" t="n">
        <f aca="false">IF(D95="Mono&amp;Dual",MIN(E95,F95)*2,MIN(E95,F95))</f>
        <v>1000</v>
      </c>
    </row>
    <row r="96" customFormat="false" ht="15" hidden="false" customHeight="false" outlineLevel="0" collapsed="false">
      <c r="A96" s="16" t="n">
        <v>4</v>
      </c>
      <c r="B96" s="17" t="n">
        <v>100</v>
      </c>
      <c r="C96" s="17" t="s">
        <v>242</v>
      </c>
      <c r="D96" s="17" t="s">
        <v>211</v>
      </c>
      <c r="E96" s="17" t="n">
        <v>500</v>
      </c>
      <c r="F96" s="18" t="n">
        <v>1600</v>
      </c>
      <c r="G96" s="0" t="n">
        <f aca="false">IF(D96="Mono&amp;Dual",MIN(E96,F96)*2,MIN(E96,F96))</f>
        <v>1000</v>
      </c>
    </row>
    <row r="97" customFormat="false" ht="15" hidden="false" customHeight="false" outlineLevel="0" collapsed="false">
      <c r="A97" s="19" t="n">
        <v>4</v>
      </c>
      <c r="B97" s="20" t="n">
        <v>100</v>
      </c>
      <c r="C97" s="20" t="s">
        <v>243</v>
      </c>
      <c r="D97" s="20" t="s">
        <v>211</v>
      </c>
      <c r="E97" s="20" t="n">
        <v>500</v>
      </c>
      <c r="F97" s="21" t="n">
        <v>1600</v>
      </c>
      <c r="G97" s="0" t="n">
        <f aca="false">IF(D97="Mono&amp;Dual",MIN(E97,F97)*2,MIN(E97,F97))</f>
        <v>1000</v>
      </c>
    </row>
    <row r="98" customFormat="false" ht="15" hidden="false" customHeight="false" outlineLevel="0" collapsed="false">
      <c r="A98" s="16" t="n">
        <v>4</v>
      </c>
      <c r="B98" s="17" t="n">
        <v>100</v>
      </c>
      <c r="C98" s="17" t="s">
        <v>244</v>
      </c>
      <c r="D98" s="17" t="s">
        <v>211</v>
      </c>
      <c r="E98" s="17" t="n">
        <v>500</v>
      </c>
      <c r="F98" s="18" t="n">
        <v>1600</v>
      </c>
      <c r="G98" s="0" t="n">
        <f aca="false">IF(D98="Mono&amp;Dual",MIN(E98,F98)*2,MIN(E98,F98))</f>
        <v>1000</v>
      </c>
    </row>
    <row r="99" customFormat="false" ht="15" hidden="false" customHeight="false" outlineLevel="0" collapsed="false">
      <c r="A99" s="19" t="n">
        <v>4</v>
      </c>
      <c r="B99" s="20" t="n">
        <v>100</v>
      </c>
      <c r="C99" s="20" t="s">
        <v>245</v>
      </c>
      <c r="D99" s="20" t="s">
        <v>211</v>
      </c>
      <c r="E99" s="20" t="n">
        <v>500</v>
      </c>
      <c r="F99" s="21" t="n">
        <v>1600</v>
      </c>
      <c r="G99" s="0" t="n">
        <f aca="false">IF(D99="Mono&amp;Dual",MIN(E99,F99)*2,MIN(E99,F99))</f>
        <v>1000</v>
      </c>
    </row>
    <row r="100" customFormat="false" ht="15" hidden="false" customHeight="false" outlineLevel="0" collapsed="false">
      <c r="A100" s="16" t="n">
        <v>4</v>
      </c>
      <c r="B100" s="17" t="n">
        <v>100</v>
      </c>
      <c r="C100" s="17" t="s">
        <v>246</v>
      </c>
      <c r="D100" s="17" t="s">
        <v>211</v>
      </c>
      <c r="E100" s="17" t="n">
        <v>500</v>
      </c>
      <c r="F100" s="18" t="n">
        <v>1600</v>
      </c>
      <c r="G100" s="0" t="n">
        <f aca="false">IF(D100="Mono&amp;Dual",MIN(E100,F100)*2,MIN(E100,F100))</f>
        <v>1000</v>
      </c>
    </row>
    <row r="101" customFormat="false" ht="15" hidden="false" customHeight="false" outlineLevel="0" collapsed="false">
      <c r="A101" s="19" t="n">
        <v>4</v>
      </c>
      <c r="B101" s="20" t="n">
        <v>100</v>
      </c>
      <c r="C101" s="20" t="s">
        <v>295</v>
      </c>
      <c r="D101" s="20" t="s">
        <v>211</v>
      </c>
      <c r="E101" s="20" t="n">
        <v>500</v>
      </c>
      <c r="F101" s="21" t="n">
        <v>1600</v>
      </c>
      <c r="G101" s="0" t="n">
        <f aca="false">IF(D101="Mono&amp;Dual",MIN(E101,F101)*2,MIN(E101,F101))</f>
        <v>1000</v>
      </c>
    </row>
    <row r="102" customFormat="false" ht="15" hidden="false" customHeight="false" outlineLevel="0" collapsed="false">
      <c r="A102" s="16" t="n">
        <v>4</v>
      </c>
      <c r="B102" s="17" t="n">
        <v>100</v>
      </c>
      <c r="C102" s="17" t="s">
        <v>296</v>
      </c>
      <c r="D102" s="17" t="s">
        <v>211</v>
      </c>
      <c r="E102" s="17" t="n">
        <v>500</v>
      </c>
      <c r="F102" s="18" t="n">
        <v>1600</v>
      </c>
      <c r="G102" s="0" t="n">
        <f aca="false">IF(D102="Mono&amp;Dual",MIN(E102,F102)*2,MIN(E102,F102))</f>
        <v>1000</v>
      </c>
    </row>
    <row r="103" customFormat="false" ht="15" hidden="false" customHeight="false" outlineLevel="0" collapsed="false">
      <c r="A103" s="19" t="n">
        <v>4</v>
      </c>
      <c r="B103" s="20" t="n">
        <v>100</v>
      </c>
      <c r="C103" s="20" t="s">
        <v>215</v>
      </c>
      <c r="D103" s="20" t="s">
        <v>211</v>
      </c>
      <c r="E103" s="20" t="n">
        <v>1000</v>
      </c>
      <c r="F103" s="21" t="n">
        <v>1600</v>
      </c>
      <c r="G103" s="0" t="n">
        <f aca="false">IF(D103="Mono&amp;Dual",MIN(E103,F103)*2,MIN(E103,F103))</f>
        <v>2000</v>
      </c>
    </row>
    <row r="104" customFormat="false" ht="15" hidden="false" customHeight="false" outlineLevel="0" collapsed="false">
      <c r="A104" s="16" t="n">
        <v>4</v>
      </c>
      <c r="B104" s="17" t="n">
        <v>100</v>
      </c>
      <c r="C104" s="17" t="s">
        <v>216</v>
      </c>
      <c r="D104" s="17" t="s">
        <v>211</v>
      </c>
      <c r="E104" s="17" t="n">
        <v>2000</v>
      </c>
      <c r="F104" s="18" t="n">
        <v>1600</v>
      </c>
      <c r="G104" s="0" t="n">
        <f aca="false">IF(D104="Mono&amp;Dual",MIN(E104,F104)*2,MIN(E104,F104))</f>
        <v>3200</v>
      </c>
    </row>
    <row r="105" customFormat="false" ht="15" hidden="false" customHeight="false" outlineLevel="0" collapsed="false">
      <c r="A105" s="19" t="n">
        <v>4</v>
      </c>
      <c r="B105" s="20" t="n">
        <v>100</v>
      </c>
      <c r="C105" s="20" t="s">
        <v>223</v>
      </c>
      <c r="D105" s="20" t="s">
        <v>211</v>
      </c>
      <c r="E105" s="20" t="n">
        <v>4000</v>
      </c>
      <c r="F105" s="21" t="n">
        <v>1600</v>
      </c>
      <c r="G105" s="0" t="n">
        <f aca="false">IF(D105="Mono&amp;Dual",MIN(E105,F105)*2,MIN(E105,F105))</f>
        <v>3200</v>
      </c>
    </row>
    <row r="106" customFormat="false" ht="15" hidden="false" customHeight="false" outlineLevel="0" collapsed="false">
      <c r="A106" s="16" t="n">
        <v>4</v>
      </c>
      <c r="B106" s="17" t="n">
        <v>100</v>
      </c>
      <c r="C106" s="17" t="s">
        <v>224</v>
      </c>
      <c r="D106" s="17" t="s">
        <v>211</v>
      </c>
      <c r="E106" s="17" t="n">
        <v>6000</v>
      </c>
      <c r="F106" s="18" t="n">
        <v>1600</v>
      </c>
      <c r="G106" s="0" t="n">
        <f aca="false">IF(D106="Mono&amp;Dual",MIN(E106,F106)*2,MIN(E106,F106))</f>
        <v>3200</v>
      </c>
    </row>
    <row r="107" customFormat="false" ht="15" hidden="false" customHeight="false" outlineLevel="0" collapsed="false">
      <c r="A107" s="19" t="n">
        <v>4</v>
      </c>
      <c r="B107" s="20" t="n">
        <v>100</v>
      </c>
      <c r="C107" s="20" t="s">
        <v>231</v>
      </c>
      <c r="D107" s="20" t="s">
        <v>211</v>
      </c>
      <c r="E107" s="20" t="n">
        <v>8000</v>
      </c>
      <c r="F107" s="21" t="n">
        <v>1600</v>
      </c>
      <c r="G107" s="0" t="n">
        <f aca="false">IF(D107="Mono&amp;Dual",MIN(E107,F107)*2,MIN(E107,F107))</f>
        <v>3200</v>
      </c>
    </row>
    <row r="108" customFormat="false" ht="15" hidden="false" customHeight="false" outlineLevel="0" collapsed="false">
      <c r="A108" s="16" t="n">
        <v>4</v>
      </c>
      <c r="B108" s="17" t="n">
        <v>100</v>
      </c>
      <c r="C108" s="17" t="s">
        <v>232</v>
      </c>
      <c r="D108" s="17" t="s">
        <v>211</v>
      </c>
      <c r="E108" s="17" t="n">
        <v>10000</v>
      </c>
      <c r="F108" s="18" t="n">
        <v>1600</v>
      </c>
      <c r="G108" s="0" t="n">
        <f aca="false">IF(D108="Mono&amp;Dual",MIN(E108,F108)*2,MIN(E108,F108))</f>
        <v>3200</v>
      </c>
    </row>
    <row r="109" customFormat="false" ht="15" hidden="false" customHeight="false" outlineLevel="0" collapsed="false">
      <c r="A109" s="19" t="n">
        <v>4</v>
      </c>
      <c r="B109" s="20" t="n">
        <v>100</v>
      </c>
      <c r="C109" s="20" t="s">
        <v>233</v>
      </c>
      <c r="D109" s="20" t="s">
        <v>211</v>
      </c>
      <c r="E109" s="20" t="n">
        <v>12000</v>
      </c>
      <c r="F109" s="21" t="n">
        <v>1600</v>
      </c>
      <c r="G109" s="0" t="n">
        <f aca="false">IF(D109="Mono&amp;Dual",MIN(E109,F109)*2,MIN(E109,F109))</f>
        <v>3200</v>
      </c>
    </row>
    <row r="110" customFormat="false" ht="15" hidden="false" customHeight="false" outlineLevel="0" collapsed="false">
      <c r="A110" s="16" t="n">
        <v>4</v>
      </c>
      <c r="B110" s="17" t="n">
        <v>100</v>
      </c>
      <c r="C110" s="17" t="s">
        <v>234</v>
      </c>
      <c r="D110" s="17" t="s">
        <v>211</v>
      </c>
      <c r="E110" s="17" t="n">
        <v>14000</v>
      </c>
      <c r="F110" s="18" t="n">
        <v>1600</v>
      </c>
      <c r="G110" s="0" t="n">
        <f aca="false">IF(D110="Mono&amp;Dual",MIN(E110,F110)*2,MIN(E110,F110))</f>
        <v>3200</v>
      </c>
    </row>
    <row r="111" customFormat="false" ht="15" hidden="false" customHeight="false" outlineLevel="0" collapsed="false">
      <c r="A111" s="19" t="n">
        <v>4</v>
      </c>
      <c r="B111" s="20" t="n">
        <v>100</v>
      </c>
      <c r="C111" s="20" t="s">
        <v>235</v>
      </c>
      <c r="D111" s="20" t="s">
        <v>211</v>
      </c>
      <c r="E111" s="20" t="n">
        <v>17000</v>
      </c>
      <c r="F111" s="21" t="n">
        <v>1600</v>
      </c>
      <c r="G111" s="0" t="n">
        <f aca="false">IF(D111="Mono&amp;Dual",MIN(E111,F111)*2,MIN(E111,F111))</f>
        <v>3200</v>
      </c>
    </row>
    <row r="112" customFormat="false" ht="15" hidden="false" customHeight="false" outlineLevel="0" collapsed="false">
      <c r="A112" s="16" t="n">
        <v>4</v>
      </c>
      <c r="B112" s="17" t="n">
        <v>100</v>
      </c>
      <c r="C112" s="17" t="s">
        <v>236</v>
      </c>
      <c r="D112" s="17" t="s">
        <v>211</v>
      </c>
      <c r="E112" s="17" t="n">
        <v>20000</v>
      </c>
      <c r="F112" s="18" t="n">
        <v>1600</v>
      </c>
      <c r="G112" s="0" t="n">
        <f aca="false">IF(D112="Mono&amp;Dual",MIN(E112,F112)*2,MIN(E112,F112))</f>
        <v>3200</v>
      </c>
    </row>
    <row r="113" customFormat="false" ht="15" hidden="false" customHeight="false" outlineLevel="0" collapsed="false">
      <c r="A113" s="19" t="n">
        <v>4</v>
      </c>
      <c r="B113" s="20" t="n">
        <v>100</v>
      </c>
      <c r="C113" s="20" t="s">
        <v>237</v>
      </c>
      <c r="D113" s="20" t="s">
        <v>211</v>
      </c>
      <c r="E113" s="20" t="n">
        <v>22000</v>
      </c>
      <c r="F113" s="21" t="n">
        <v>1600</v>
      </c>
      <c r="G113" s="0" t="n">
        <f aca="false">IF(D113="Mono&amp;Dual",MIN(E113,F113)*2,MIN(E113,F113))</f>
        <v>3200</v>
      </c>
    </row>
    <row r="114" customFormat="false" ht="15" hidden="false" customHeight="false" outlineLevel="0" collapsed="false">
      <c r="A114" s="16" t="n">
        <v>4</v>
      </c>
      <c r="B114" s="17" t="n">
        <v>100</v>
      </c>
      <c r="C114" s="17" t="s">
        <v>217</v>
      </c>
      <c r="D114" s="17" t="s">
        <v>36</v>
      </c>
      <c r="E114" s="17"/>
      <c r="F114" s="18" t="n">
        <v>300</v>
      </c>
      <c r="G114" s="0" t="n">
        <f aca="false">IF(D114="Mono&amp;Dual",MIN(E114,F114)*2,MIN(E114,F114))</f>
        <v>300</v>
      </c>
    </row>
    <row r="115" customFormat="false" ht="15" hidden="false" customHeight="false" outlineLevel="0" collapsed="false">
      <c r="A115" s="19" t="n">
        <v>4</v>
      </c>
      <c r="B115" s="20" t="n">
        <v>100</v>
      </c>
      <c r="C115" s="20" t="s">
        <v>218</v>
      </c>
      <c r="D115" s="20" t="s">
        <v>36</v>
      </c>
      <c r="E115" s="20"/>
      <c r="F115" s="21" t="n">
        <v>300</v>
      </c>
      <c r="G115" s="0" t="n">
        <f aca="false">IF(D115="Mono&amp;Dual",MIN(E115,F115)*2,MIN(E115,F115))</f>
        <v>300</v>
      </c>
    </row>
    <row r="116" customFormat="false" ht="15" hidden="false" customHeight="false" outlineLevel="0" collapsed="false">
      <c r="A116" s="16" t="n">
        <v>4</v>
      </c>
      <c r="B116" s="17" t="n">
        <v>100</v>
      </c>
      <c r="C116" s="17" t="s">
        <v>219</v>
      </c>
      <c r="D116" s="17" t="s">
        <v>36</v>
      </c>
      <c r="E116" s="17"/>
      <c r="F116" s="18" t="n">
        <v>300</v>
      </c>
      <c r="G116" s="0" t="n">
        <f aca="false">IF(D116="Mono&amp;Dual",MIN(E116,F116)*2,MIN(E116,F116))</f>
        <v>300</v>
      </c>
    </row>
    <row r="117" customFormat="false" ht="15" hidden="false" customHeight="false" outlineLevel="0" collapsed="false">
      <c r="A117" s="19" t="n">
        <v>4</v>
      </c>
      <c r="B117" s="20" t="n">
        <v>100</v>
      </c>
      <c r="C117" s="20" t="s">
        <v>220</v>
      </c>
      <c r="D117" s="20" t="s">
        <v>36</v>
      </c>
      <c r="E117" s="20"/>
      <c r="F117" s="21" t="n">
        <v>300</v>
      </c>
      <c r="G117" s="0" t="n">
        <f aca="false">IF(D117="Mono&amp;Dual",MIN(E117,F117)*2,MIN(E117,F117))</f>
        <v>300</v>
      </c>
    </row>
    <row r="118" customFormat="false" ht="15" hidden="false" customHeight="false" outlineLevel="0" collapsed="false">
      <c r="A118" s="16" t="n">
        <v>4</v>
      </c>
      <c r="B118" s="17" t="n">
        <v>100</v>
      </c>
      <c r="C118" s="17" t="s">
        <v>221</v>
      </c>
      <c r="D118" s="17" t="s">
        <v>36</v>
      </c>
      <c r="E118" s="17"/>
      <c r="F118" s="18" t="n">
        <v>300</v>
      </c>
      <c r="G118" s="0" t="n">
        <f aca="false">IF(D118="Mono&amp;Dual",MIN(E118,F118)*2,MIN(E118,F118))</f>
        <v>300</v>
      </c>
    </row>
    <row r="119" customFormat="false" ht="15" hidden="false" customHeight="false" outlineLevel="0" collapsed="false">
      <c r="A119" s="19" t="n">
        <v>4</v>
      </c>
      <c r="B119" s="20" t="n">
        <v>100</v>
      </c>
      <c r="C119" s="20" t="s">
        <v>222</v>
      </c>
      <c r="D119" s="20" t="s">
        <v>36</v>
      </c>
      <c r="E119" s="20"/>
      <c r="F119" s="21" t="n">
        <v>300</v>
      </c>
      <c r="G119" s="0" t="n">
        <f aca="false">IF(D119="Mono&amp;Dual",MIN(E119,F119)*2,MIN(E119,F119))</f>
        <v>300</v>
      </c>
    </row>
    <row r="120" customFormat="false" ht="15" hidden="false" customHeight="false" outlineLevel="0" collapsed="false">
      <c r="A120" s="16" t="n">
        <v>4</v>
      </c>
      <c r="B120" s="17" t="n">
        <v>100</v>
      </c>
      <c r="C120" s="17" t="s">
        <v>225</v>
      </c>
      <c r="D120" s="17" t="s">
        <v>36</v>
      </c>
      <c r="E120" s="17"/>
      <c r="F120" s="18" t="n">
        <v>300</v>
      </c>
      <c r="G120" s="0" t="n">
        <f aca="false">IF(D120="Mono&amp;Dual",MIN(E120,F120)*2,MIN(E120,F120))</f>
        <v>300</v>
      </c>
    </row>
    <row r="121" customFormat="false" ht="15" hidden="false" customHeight="false" outlineLevel="0" collapsed="false">
      <c r="A121" s="19" t="n">
        <v>4</v>
      </c>
      <c r="B121" s="20" t="n">
        <v>100</v>
      </c>
      <c r="C121" s="20" t="s">
        <v>226</v>
      </c>
      <c r="D121" s="20" t="s">
        <v>36</v>
      </c>
      <c r="E121" s="20"/>
      <c r="F121" s="21" t="n">
        <v>300</v>
      </c>
      <c r="G121" s="0" t="n">
        <f aca="false">IF(D121="Mono&amp;Dual",MIN(E121,F121)*2,MIN(E121,F121))</f>
        <v>300</v>
      </c>
    </row>
    <row r="122" customFormat="false" ht="15" hidden="false" customHeight="false" outlineLevel="0" collapsed="false">
      <c r="A122" s="16" t="n">
        <v>4</v>
      </c>
      <c r="B122" s="17" t="n">
        <v>100</v>
      </c>
      <c r="C122" s="17" t="s">
        <v>227</v>
      </c>
      <c r="D122" s="17" t="s">
        <v>36</v>
      </c>
      <c r="E122" s="17"/>
      <c r="F122" s="18" t="n">
        <v>300</v>
      </c>
      <c r="G122" s="0" t="n">
        <f aca="false">IF(D122="Mono&amp;Dual",MIN(E122,F122)*2,MIN(E122,F122))</f>
        <v>300</v>
      </c>
    </row>
    <row r="123" customFormat="false" ht="15" hidden="false" customHeight="false" outlineLevel="0" collapsed="false">
      <c r="A123" s="19" t="n">
        <v>4</v>
      </c>
      <c r="B123" s="20" t="n">
        <v>100</v>
      </c>
      <c r="C123" s="20" t="s">
        <v>228</v>
      </c>
      <c r="D123" s="20" t="s">
        <v>36</v>
      </c>
      <c r="E123" s="20"/>
      <c r="F123" s="21" t="n">
        <v>300</v>
      </c>
      <c r="G123" s="0" t="n">
        <f aca="false">IF(D123="Mono&amp;Dual",MIN(E123,F123)*2,MIN(E123,F123))</f>
        <v>300</v>
      </c>
    </row>
    <row r="124" customFormat="false" ht="15" hidden="false" customHeight="false" outlineLevel="0" collapsed="false">
      <c r="A124" s="16" t="n">
        <v>4</v>
      </c>
      <c r="B124" s="17" t="n">
        <v>100</v>
      </c>
      <c r="C124" s="17" t="s">
        <v>229</v>
      </c>
      <c r="D124" s="17" t="s">
        <v>36</v>
      </c>
      <c r="E124" s="17"/>
      <c r="F124" s="18" t="n">
        <v>300</v>
      </c>
      <c r="G124" s="0" t="n">
        <f aca="false">IF(D124="Mono&amp;Dual",MIN(E124,F124)*2,MIN(E124,F124))</f>
        <v>300</v>
      </c>
    </row>
    <row r="125" customFormat="false" ht="15" hidden="false" customHeight="false" outlineLevel="0" collapsed="false">
      <c r="A125" s="19" t="n">
        <v>4</v>
      </c>
      <c r="B125" s="20" t="n">
        <v>100</v>
      </c>
      <c r="C125" s="20" t="s">
        <v>230</v>
      </c>
      <c r="D125" s="20" t="s">
        <v>36</v>
      </c>
      <c r="E125" s="20"/>
      <c r="F125" s="21" t="n">
        <v>300</v>
      </c>
      <c r="G125" s="0" t="n">
        <f aca="false">IF(D125="Mono&amp;Dual",MIN(E125,F125)*2,MIN(E125,F125))</f>
        <v>300</v>
      </c>
    </row>
    <row r="126" customFormat="false" ht="15" hidden="false" customHeight="false" outlineLevel="0" collapsed="false">
      <c r="A126" s="16" t="n">
        <v>4</v>
      </c>
      <c r="B126" s="17" t="n">
        <v>100</v>
      </c>
      <c r="C126" s="17" t="s">
        <v>247</v>
      </c>
      <c r="D126" s="17" t="s">
        <v>36</v>
      </c>
      <c r="E126" s="17"/>
      <c r="F126" s="18" t="n">
        <v>300</v>
      </c>
      <c r="G126" s="0" t="n">
        <f aca="false">IF(D126="Mono&amp;Dual",MIN(E126,F126)*2,MIN(E126,F126))</f>
        <v>300</v>
      </c>
    </row>
    <row r="127" customFormat="false" ht="15" hidden="false" customHeight="false" outlineLevel="0" collapsed="false">
      <c r="A127" s="19" t="n">
        <v>4</v>
      </c>
      <c r="B127" s="20" t="n">
        <v>100</v>
      </c>
      <c r="C127" s="20" t="s">
        <v>248</v>
      </c>
      <c r="D127" s="20" t="s">
        <v>36</v>
      </c>
      <c r="E127" s="20"/>
      <c r="F127" s="21" t="n">
        <v>300</v>
      </c>
      <c r="G127" s="0" t="n">
        <f aca="false">IF(D127="Mono&amp;Dual",MIN(E127,F127)*2,MIN(E127,F127))</f>
        <v>300</v>
      </c>
    </row>
    <row r="128" customFormat="false" ht="15" hidden="false" customHeight="false" outlineLevel="0" collapsed="false">
      <c r="A128" s="16" t="n">
        <v>4</v>
      </c>
      <c r="B128" s="17" t="n">
        <v>100</v>
      </c>
      <c r="C128" s="17" t="s">
        <v>249</v>
      </c>
      <c r="D128" s="17" t="s">
        <v>36</v>
      </c>
      <c r="E128" s="17"/>
      <c r="F128" s="18" t="n">
        <v>300</v>
      </c>
      <c r="G128" s="0" t="n">
        <f aca="false">IF(D128="Mono&amp;Dual",MIN(E128,F128)*2,MIN(E128,F128))</f>
        <v>300</v>
      </c>
    </row>
    <row r="129" customFormat="false" ht="15" hidden="false" customHeight="false" outlineLevel="0" collapsed="false">
      <c r="A129" s="19" t="n">
        <v>4</v>
      </c>
      <c r="B129" s="20" t="n">
        <v>100</v>
      </c>
      <c r="C129" s="20" t="s">
        <v>250</v>
      </c>
      <c r="D129" s="20" t="s">
        <v>36</v>
      </c>
      <c r="E129" s="20"/>
      <c r="F129" s="21" t="n">
        <v>300</v>
      </c>
      <c r="G129" s="0" t="n">
        <f aca="false">IF(D129="Mono&amp;Dual",MIN(E129,F129)*2,MIN(E129,F129))</f>
        <v>300</v>
      </c>
    </row>
    <row r="130" customFormat="false" ht="15" hidden="false" customHeight="false" outlineLevel="0" collapsed="false">
      <c r="A130" s="16" t="n">
        <v>4</v>
      </c>
      <c r="B130" s="17" t="n">
        <v>100</v>
      </c>
      <c r="C130" s="17" t="s">
        <v>251</v>
      </c>
      <c r="D130" s="17" t="s">
        <v>36</v>
      </c>
      <c r="E130" s="17"/>
      <c r="F130" s="18" t="n">
        <v>300</v>
      </c>
      <c r="G130" s="0" t="n">
        <f aca="false">IF(D130="Mono&amp;Dual",MIN(E130,F130)*2,MIN(E130,F130))</f>
        <v>300</v>
      </c>
    </row>
    <row r="131" customFormat="false" ht="15" hidden="false" customHeight="false" outlineLevel="0" collapsed="false">
      <c r="A131" s="19" t="n">
        <v>4</v>
      </c>
      <c r="B131" s="20" t="n">
        <v>100</v>
      </c>
      <c r="C131" s="20" t="s">
        <v>252</v>
      </c>
      <c r="D131" s="20" t="s">
        <v>36</v>
      </c>
      <c r="E131" s="20"/>
      <c r="F131" s="21" t="n">
        <v>300</v>
      </c>
      <c r="G131" s="0" t="n">
        <f aca="false">IF(D131="Mono&amp;Dual",MIN(E131,F131)*2,MIN(E131,F131))</f>
        <v>300</v>
      </c>
    </row>
    <row r="132" customFormat="false" ht="15" hidden="false" customHeight="false" outlineLevel="0" collapsed="false">
      <c r="A132" s="16" t="n">
        <v>4</v>
      </c>
      <c r="B132" s="17" t="n">
        <v>100</v>
      </c>
      <c r="C132" s="17" t="s">
        <v>253</v>
      </c>
      <c r="D132" s="17" t="s">
        <v>36</v>
      </c>
      <c r="E132" s="17"/>
      <c r="F132" s="18" t="n">
        <v>300</v>
      </c>
      <c r="G132" s="0" t="n">
        <f aca="false">IF(D132="Mono&amp;Dual",MIN(E132,F132)*2,MIN(E132,F132))</f>
        <v>300</v>
      </c>
    </row>
    <row r="133" customFormat="false" ht="15" hidden="false" customHeight="false" outlineLevel="0" collapsed="false">
      <c r="A133" s="19" t="n">
        <v>4</v>
      </c>
      <c r="B133" s="20" t="n">
        <v>100</v>
      </c>
      <c r="C133" s="20" t="s">
        <v>254</v>
      </c>
      <c r="D133" s="20" t="s">
        <v>36</v>
      </c>
      <c r="E133" s="20"/>
      <c r="F133" s="21" t="n">
        <v>300</v>
      </c>
      <c r="G133" s="0" t="n">
        <f aca="false">IF(D133="Mono&amp;Dual",MIN(E133,F133)*2,MIN(E133,F133))</f>
        <v>300</v>
      </c>
    </row>
    <row r="134" customFormat="false" ht="15" hidden="false" customHeight="false" outlineLevel="0" collapsed="false">
      <c r="A134" s="16" t="n">
        <v>4</v>
      </c>
      <c r="B134" s="17" t="n">
        <v>100</v>
      </c>
      <c r="C134" s="17" t="s">
        <v>255</v>
      </c>
      <c r="D134" s="17" t="s">
        <v>36</v>
      </c>
      <c r="E134" s="17"/>
      <c r="F134" s="18" t="n">
        <v>300</v>
      </c>
      <c r="G134" s="0" t="n">
        <f aca="false">IF(D134="Mono&amp;Dual",MIN(E134,F134)*2,MIN(E134,F134))</f>
        <v>300</v>
      </c>
    </row>
    <row r="135" customFormat="false" ht="15" hidden="false" customHeight="false" outlineLevel="0" collapsed="false">
      <c r="A135" s="19" t="n">
        <v>4</v>
      </c>
      <c r="B135" s="20" t="n">
        <v>100</v>
      </c>
      <c r="C135" s="20" t="s">
        <v>256</v>
      </c>
      <c r="D135" s="20" t="s">
        <v>36</v>
      </c>
      <c r="E135" s="20"/>
      <c r="F135" s="21" t="n">
        <v>300</v>
      </c>
      <c r="G135" s="0" t="n">
        <f aca="false">IF(D135="Mono&amp;Dual",MIN(E135,F135)*2,MIN(E135,F135))</f>
        <v>300</v>
      </c>
    </row>
    <row r="136" customFormat="false" ht="15" hidden="false" customHeight="false" outlineLevel="0" collapsed="false">
      <c r="A136" s="16" t="n">
        <v>4</v>
      </c>
      <c r="B136" s="17" t="n">
        <v>100</v>
      </c>
      <c r="C136" s="17" t="s">
        <v>257</v>
      </c>
      <c r="D136" s="17" t="s">
        <v>36</v>
      </c>
      <c r="E136" s="17"/>
      <c r="F136" s="18" t="n">
        <v>300</v>
      </c>
      <c r="G136" s="0" t="n">
        <f aca="false">IF(D136="Mono&amp;Dual",MIN(E136,F136)*2,MIN(E136,F136))</f>
        <v>300</v>
      </c>
    </row>
    <row r="137" customFormat="false" ht="15" hidden="false" customHeight="false" outlineLevel="0" collapsed="false">
      <c r="A137" s="19" t="n">
        <v>4</v>
      </c>
      <c r="B137" s="20" t="n">
        <v>100</v>
      </c>
      <c r="C137" s="20" t="s">
        <v>258</v>
      </c>
      <c r="D137" s="20" t="s">
        <v>36</v>
      </c>
      <c r="E137" s="20"/>
      <c r="F137" s="21" t="n">
        <v>300</v>
      </c>
      <c r="G137" s="0" t="n">
        <f aca="false">IF(D137="Mono&amp;Dual",MIN(E137,F137)*2,MIN(E137,F137))</f>
        <v>300</v>
      </c>
    </row>
    <row r="138" customFormat="false" ht="15" hidden="false" customHeight="false" outlineLevel="0" collapsed="false">
      <c r="A138" s="16" t="n">
        <v>4</v>
      </c>
      <c r="B138" s="17" t="n">
        <v>100</v>
      </c>
      <c r="C138" s="17" t="s">
        <v>259</v>
      </c>
      <c r="D138" s="17" t="s">
        <v>36</v>
      </c>
      <c r="E138" s="17"/>
      <c r="F138" s="18" t="n">
        <v>300</v>
      </c>
      <c r="G138" s="0" t="n">
        <f aca="false">IF(D138="Mono&amp;Dual",MIN(E138,F138)*2,MIN(E138,F138))</f>
        <v>300</v>
      </c>
    </row>
    <row r="139" customFormat="false" ht="15" hidden="false" customHeight="false" outlineLevel="0" collapsed="false">
      <c r="A139" s="19" t="n">
        <v>4</v>
      </c>
      <c r="B139" s="20" t="n">
        <v>100</v>
      </c>
      <c r="C139" s="20" t="s">
        <v>260</v>
      </c>
      <c r="D139" s="20" t="s">
        <v>36</v>
      </c>
      <c r="E139" s="20"/>
      <c r="F139" s="21" t="n">
        <v>300</v>
      </c>
      <c r="G139" s="0" t="n">
        <f aca="false">IF(D139="Mono&amp;Dual",MIN(E139,F139)*2,MIN(E139,F139))</f>
        <v>300</v>
      </c>
    </row>
    <row r="140" customFormat="false" ht="15" hidden="false" customHeight="false" outlineLevel="0" collapsed="false">
      <c r="A140" s="16" t="n">
        <v>4</v>
      </c>
      <c r="B140" s="17" t="n">
        <v>100</v>
      </c>
      <c r="C140" s="17" t="s">
        <v>261</v>
      </c>
      <c r="D140" s="17" t="s">
        <v>36</v>
      </c>
      <c r="E140" s="17"/>
      <c r="F140" s="18" t="n">
        <v>300</v>
      </c>
      <c r="G140" s="0" t="n">
        <f aca="false">IF(D140="Mono&amp;Dual",MIN(E140,F140)*2,MIN(E140,F140))</f>
        <v>300</v>
      </c>
    </row>
    <row r="141" customFormat="false" ht="15" hidden="false" customHeight="false" outlineLevel="0" collapsed="false">
      <c r="A141" s="19" t="n">
        <v>4</v>
      </c>
      <c r="B141" s="20" t="n">
        <v>100</v>
      </c>
      <c r="C141" s="20" t="s">
        <v>262</v>
      </c>
      <c r="D141" s="20" t="s">
        <v>36</v>
      </c>
      <c r="E141" s="20"/>
      <c r="F141" s="21" t="n">
        <v>300</v>
      </c>
      <c r="G141" s="0" t="n">
        <f aca="false">IF(D141="Mono&amp;Dual",MIN(E141,F141)*2,MIN(E141,F141))</f>
        <v>300</v>
      </c>
    </row>
    <row r="142" customFormat="false" ht="15" hidden="false" customHeight="false" outlineLevel="0" collapsed="false">
      <c r="A142" s="16" t="n">
        <v>4</v>
      </c>
      <c r="B142" s="17" t="n">
        <v>100</v>
      </c>
      <c r="C142" s="17" t="s">
        <v>263</v>
      </c>
      <c r="D142" s="17" t="s">
        <v>36</v>
      </c>
      <c r="E142" s="17"/>
      <c r="F142" s="18" t="n">
        <v>300</v>
      </c>
      <c r="G142" s="0" t="n">
        <f aca="false">IF(D142="Mono&amp;Dual",MIN(E142,F142)*2,MIN(E142,F142))</f>
        <v>300</v>
      </c>
    </row>
    <row r="143" customFormat="false" ht="15" hidden="false" customHeight="false" outlineLevel="0" collapsed="false">
      <c r="A143" s="19" t="n">
        <v>4</v>
      </c>
      <c r="B143" s="20" t="n">
        <v>100</v>
      </c>
      <c r="C143" s="20" t="s">
        <v>264</v>
      </c>
      <c r="D143" s="20" t="s">
        <v>36</v>
      </c>
      <c r="E143" s="20"/>
      <c r="F143" s="21" t="n">
        <v>300</v>
      </c>
      <c r="G143" s="0" t="n">
        <f aca="false">IF(D143="Mono&amp;Dual",MIN(E143,F143)*2,MIN(E143,F143))</f>
        <v>300</v>
      </c>
    </row>
    <row r="144" customFormat="false" ht="15" hidden="false" customHeight="false" outlineLevel="0" collapsed="false">
      <c r="A144" s="16" t="n">
        <v>4</v>
      </c>
      <c r="B144" s="17" t="n">
        <v>100</v>
      </c>
      <c r="C144" s="17" t="s">
        <v>265</v>
      </c>
      <c r="D144" s="17" t="s">
        <v>36</v>
      </c>
      <c r="E144" s="17"/>
      <c r="F144" s="18" t="n">
        <v>300</v>
      </c>
      <c r="G144" s="0" t="n">
        <f aca="false">IF(D144="Mono&amp;Dual",MIN(E144,F144)*2,MIN(E144,F144))</f>
        <v>300</v>
      </c>
    </row>
    <row r="145" customFormat="false" ht="15" hidden="false" customHeight="false" outlineLevel="0" collapsed="false">
      <c r="A145" s="19" t="n">
        <v>4</v>
      </c>
      <c r="B145" s="20" t="n">
        <v>100</v>
      </c>
      <c r="C145" s="20" t="s">
        <v>266</v>
      </c>
      <c r="D145" s="20" t="s">
        <v>36</v>
      </c>
      <c r="E145" s="20"/>
      <c r="F145" s="21" t="n">
        <v>300</v>
      </c>
      <c r="G145" s="0" t="n">
        <f aca="false">IF(D145="Mono&amp;Dual",MIN(E145,F145)*2,MIN(E145,F145))</f>
        <v>300</v>
      </c>
    </row>
    <row r="146" customFormat="false" ht="15" hidden="false" customHeight="false" outlineLevel="0" collapsed="false">
      <c r="A146" s="16" t="n">
        <v>4</v>
      </c>
      <c r="B146" s="17" t="n">
        <v>100</v>
      </c>
      <c r="C146" s="17" t="s">
        <v>267</v>
      </c>
      <c r="D146" s="17" t="s">
        <v>36</v>
      </c>
      <c r="E146" s="17"/>
      <c r="F146" s="18" t="n">
        <v>300</v>
      </c>
      <c r="G146" s="0" t="n">
        <f aca="false">IF(D146="Mono&amp;Dual",MIN(E146,F146)*2,MIN(E146,F146))</f>
        <v>300</v>
      </c>
    </row>
    <row r="147" customFormat="false" ht="15" hidden="false" customHeight="false" outlineLevel="0" collapsed="false">
      <c r="A147" s="19" t="n">
        <v>4</v>
      </c>
      <c r="B147" s="20" t="n">
        <v>100</v>
      </c>
      <c r="C147" s="20" t="s">
        <v>268</v>
      </c>
      <c r="D147" s="20" t="s">
        <v>36</v>
      </c>
      <c r="E147" s="20"/>
      <c r="F147" s="21" t="n">
        <v>300</v>
      </c>
      <c r="G147" s="0" t="n">
        <f aca="false">IF(D147="Mono&amp;Dual",MIN(E147,F147)*2,MIN(E147,F147))</f>
        <v>300</v>
      </c>
    </row>
    <row r="148" customFormat="false" ht="15" hidden="false" customHeight="false" outlineLevel="0" collapsed="false">
      <c r="A148" s="16" t="n">
        <v>4</v>
      </c>
      <c r="B148" s="17" t="n">
        <v>100</v>
      </c>
      <c r="C148" s="17" t="s">
        <v>269</v>
      </c>
      <c r="D148" s="17" t="s">
        <v>36</v>
      </c>
      <c r="E148" s="17"/>
      <c r="F148" s="18" t="n">
        <v>300</v>
      </c>
      <c r="G148" s="0" t="n">
        <f aca="false">IF(D148="Mono&amp;Dual",MIN(E148,F148)*2,MIN(E148,F148))</f>
        <v>300</v>
      </c>
    </row>
    <row r="149" customFormat="false" ht="15" hidden="false" customHeight="false" outlineLevel="0" collapsed="false">
      <c r="A149" s="19" t="n">
        <v>4</v>
      </c>
      <c r="B149" s="20" t="n">
        <v>100</v>
      </c>
      <c r="C149" s="20" t="s">
        <v>270</v>
      </c>
      <c r="D149" s="20" t="s">
        <v>36</v>
      </c>
      <c r="E149" s="20"/>
      <c r="F149" s="21" t="n">
        <v>300</v>
      </c>
      <c r="G149" s="0" t="n">
        <f aca="false">IF(D149="Mono&amp;Dual",MIN(E149,F149)*2,MIN(E149,F149))</f>
        <v>300</v>
      </c>
    </row>
    <row r="150" customFormat="false" ht="15" hidden="false" customHeight="false" outlineLevel="0" collapsed="false">
      <c r="A150" s="16" t="n">
        <v>4</v>
      </c>
      <c r="B150" s="17" t="n">
        <v>100</v>
      </c>
      <c r="C150" s="17" t="s">
        <v>271</v>
      </c>
      <c r="D150" s="17" t="s">
        <v>36</v>
      </c>
      <c r="E150" s="17"/>
      <c r="F150" s="18" t="n">
        <v>300</v>
      </c>
      <c r="G150" s="0" t="n">
        <f aca="false">IF(D150="Mono&amp;Dual",MIN(E150,F150)*2,MIN(E150,F150))</f>
        <v>300</v>
      </c>
    </row>
    <row r="151" customFormat="false" ht="15" hidden="false" customHeight="false" outlineLevel="0" collapsed="false">
      <c r="A151" s="19" t="n">
        <v>4</v>
      </c>
      <c r="B151" s="20" t="n">
        <v>100</v>
      </c>
      <c r="C151" s="20" t="s">
        <v>272</v>
      </c>
      <c r="D151" s="20" t="s">
        <v>36</v>
      </c>
      <c r="E151" s="20"/>
      <c r="F151" s="21" t="n">
        <v>300</v>
      </c>
      <c r="G151" s="0" t="n">
        <f aca="false">IF(D151="Mono&amp;Dual",MIN(E151,F151)*2,MIN(E151,F151))</f>
        <v>300</v>
      </c>
    </row>
    <row r="152" customFormat="false" ht="15" hidden="false" customHeight="false" outlineLevel="0" collapsed="false">
      <c r="A152" s="16" t="n">
        <v>4</v>
      </c>
      <c r="B152" s="17" t="n">
        <v>100</v>
      </c>
      <c r="C152" s="17" t="s">
        <v>273</v>
      </c>
      <c r="D152" s="17" t="s">
        <v>36</v>
      </c>
      <c r="E152" s="17"/>
      <c r="F152" s="18" t="n">
        <v>300</v>
      </c>
      <c r="G152" s="0" t="n">
        <f aca="false">IF(D152="Mono&amp;Dual",MIN(E152,F152)*2,MIN(E152,F152))</f>
        <v>300</v>
      </c>
    </row>
    <row r="153" customFormat="false" ht="15" hidden="false" customHeight="false" outlineLevel="0" collapsed="false">
      <c r="A153" s="19" t="n">
        <v>4</v>
      </c>
      <c r="B153" s="20" t="n">
        <v>100</v>
      </c>
      <c r="C153" s="20" t="s">
        <v>274</v>
      </c>
      <c r="D153" s="20" t="s">
        <v>36</v>
      </c>
      <c r="E153" s="20"/>
      <c r="F153" s="21" t="n">
        <v>300</v>
      </c>
      <c r="G153" s="0" t="n">
        <f aca="false">IF(D153="Mono&amp;Dual",MIN(E153,F153)*2,MIN(E153,F153))</f>
        <v>300</v>
      </c>
    </row>
    <row r="154" customFormat="false" ht="15" hidden="false" customHeight="false" outlineLevel="0" collapsed="false">
      <c r="A154" s="16" t="n">
        <v>4</v>
      </c>
      <c r="B154" s="17" t="n">
        <v>100</v>
      </c>
      <c r="C154" s="17" t="s">
        <v>275</v>
      </c>
      <c r="D154" s="17" t="s">
        <v>36</v>
      </c>
      <c r="E154" s="17"/>
      <c r="F154" s="18" t="n">
        <v>300</v>
      </c>
      <c r="G154" s="0" t="n">
        <f aca="false">IF(D154="Mono&amp;Dual",MIN(E154,F154)*2,MIN(E154,F154))</f>
        <v>300</v>
      </c>
    </row>
    <row r="155" customFormat="false" ht="15" hidden="false" customHeight="false" outlineLevel="0" collapsed="false">
      <c r="A155" s="19" t="n">
        <v>4</v>
      </c>
      <c r="B155" s="20" t="n">
        <v>100</v>
      </c>
      <c r="C155" s="20" t="s">
        <v>276</v>
      </c>
      <c r="D155" s="20" t="s">
        <v>36</v>
      </c>
      <c r="E155" s="20"/>
      <c r="F155" s="21" t="n">
        <v>300</v>
      </c>
      <c r="G155" s="0" t="n">
        <f aca="false">IF(D155="Mono&amp;Dual",MIN(E155,F155)*2,MIN(E155,F155))</f>
        <v>300</v>
      </c>
    </row>
    <row r="156" customFormat="false" ht="15" hidden="false" customHeight="false" outlineLevel="0" collapsed="false">
      <c r="A156" s="16" t="n">
        <v>4</v>
      </c>
      <c r="B156" s="17" t="n">
        <v>100</v>
      </c>
      <c r="C156" s="17" t="s">
        <v>277</v>
      </c>
      <c r="D156" s="17" t="s">
        <v>36</v>
      </c>
      <c r="E156" s="17"/>
      <c r="F156" s="18" t="n">
        <v>300</v>
      </c>
      <c r="G156" s="0" t="n">
        <f aca="false">IF(D156="Mono&amp;Dual",MIN(E156,F156)*2,MIN(E156,F156))</f>
        <v>300</v>
      </c>
    </row>
    <row r="157" customFormat="false" ht="15" hidden="false" customHeight="false" outlineLevel="0" collapsed="false">
      <c r="A157" s="19" t="n">
        <v>4</v>
      </c>
      <c r="B157" s="20" t="n">
        <v>100</v>
      </c>
      <c r="C157" s="20" t="s">
        <v>278</v>
      </c>
      <c r="D157" s="20" t="s">
        <v>36</v>
      </c>
      <c r="E157" s="20"/>
      <c r="F157" s="21" t="n">
        <v>300</v>
      </c>
      <c r="G157" s="0" t="n">
        <f aca="false">IF(D157="Mono&amp;Dual",MIN(E157,F157)*2,MIN(E157,F157))</f>
        <v>300</v>
      </c>
    </row>
    <row r="158" customFormat="false" ht="15" hidden="false" customHeight="false" outlineLevel="0" collapsed="false">
      <c r="A158" s="16" t="n">
        <v>4</v>
      </c>
      <c r="B158" s="17" t="n">
        <v>100</v>
      </c>
      <c r="C158" s="17" t="s">
        <v>279</v>
      </c>
      <c r="D158" s="17" t="s">
        <v>36</v>
      </c>
      <c r="E158" s="17"/>
      <c r="F158" s="18" t="n">
        <v>300</v>
      </c>
      <c r="G158" s="0" t="n">
        <f aca="false">IF(D158="Mono&amp;Dual",MIN(E158,F158)*2,MIN(E158,F158))</f>
        <v>300</v>
      </c>
    </row>
    <row r="159" customFormat="false" ht="15" hidden="false" customHeight="false" outlineLevel="0" collapsed="false">
      <c r="A159" s="19" t="n">
        <v>4</v>
      </c>
      <c r="B159" s="20" t="n">
        <v>100</v>
      </c>
      <c r="C159" s="20" t="s">
        <v>280</v>
      </c>
      <c r="D159" s="20" t="s">
        <v>36</v>
      </c>
      <c r="E159" s="20"/>
      <c r="F159" s="21" t="n">
        <v>300</v>
      </c>
      <c r="G159" s="0" t="n">
        <f aca="false">IF(D159="Mono&amp;Dual",MIN(E159,F159)*2,MIN(E159,F159))</f>
        <v>300</v>
      </c>
    </row>
    <row r="160" customFormat="false" ht="15" hidden="false" customHeight="false" outlineLevel="0" collapsed="false">
      <c r="A160" s="16" t="n">
        <v>4</v>
      </c>
      <c r="B160" s="17" t="n">
        <v>100</v>
      </c>
      <c r="C160" s="17" t="s">
        <v>281</v>
      </c>
      <c r="D160" s="17" t="s">
        <v>36</v>
      </c>
      <c r="E160" s="17"/>
      <c r="F160" s="18" t="n">
        <v>300</v>
      </c>
      <c r="G160" s="0" t="n">
        <f aca="false">IF(D160="Mono&amp;Dual",MIN(E160,F160)*2,MIN(E160,F160))</f>
        <v>300</v>
      </c>
    </row>
    <row r="161" customFormat="false" ht="15" hidden="false" customHeight="false" outlineLevel="0" collapsed="false">
      <c r="A161" s="19" t="n">
        <v>4</v>
      </c>
      <c r="B161" s="20" t="n">
        <v>100</v>
      </c>
      <c r="C161" s="20" t="s">
        <v>282</v>
      </c>
      <c r="D161" s="20" t="s">
        <v>36</v>
      </c>
      <c r="E161" s="20"/>
      <c r="F161" s="21" t="n">
        <v>300</v>
      </c>
      <c r="G161" s="0" t="n">
        <f aca="false">IF(D161="Mono&amp;Dual",MIN(E161,F161)*2,MIN(E161,F161))</f>
        <v>300</v>
      </c>
    </row>
    <row r="162" customFormat="false" ht="15" hidden="false" customHeight="false" outlineLevel="0" collapsed="false">
      <c r="A162" s="16" t="n">
        <v>4</v>
      </c>
      <c r="B162" s="17" t="n">
        <v>100</v>
      </c>
      <c r="C162" s="17" t="s">
        <v>283</v>
      </c>
      <c r="D162" s="17" t="s">
        <v>36</v>
      </c>
      <c r="E162" s="17"/>
      <c r="F162" s="18" t="n">
        <v>300</v>
      </c>
      <c r="G162" s="0" t="n">
        <f aca="false">IF(D162="Mono&amp;Dual",MIN(E162,F162)*2,MIN(E162,F162))</f>
        <v>300</v>
      </c>
    </row>
    <row r="163" customFormat="false" ht="15" hidden="false" customHeight="false" outlineLevel="0" collapsed="false">
      <c r="A163" s="19" t="n">
        <v>4</v>
      </c>
      <c r="B163" s="20" t="n">
        <v>100</v>
      </c>
      <c r="C163" s="20" t="s">
        <v>284</v>
      </c>
      <c r="D163" s="20" t="s">
        <v>36</v>
      </c>
      <c r="E163" s="20"/>
      <c r="F163" s="21" t="n">
        <v>300</v>
      </c>
      <c r="G163" s="0" t="n">
        <f aca="false">IF(D163="Mono&amp;Dual",MIN(E163,F163)*2,MIN(E163,F163))</f>
        <v>300</v>
      </c>
    </row>
    <row r="164" customFormat="false" ht="15" hidden="false" customHeight="false" outlineLevel="0" collapsed="false">
      <c r="A164" s="16" t="n">
        <v>4</v>
      </c>
      <c r="B164" s="17" t="n">
        <v>100</v>
      </c>
      <c r="C164" s="17" t="s">
        <v>285</v>
      </c>
      <c r="D164" s="17" t="s">
        <v>36</v>
      </c>
      <c r="E164" s="17"/>
      <c r="F164" s="18" t="n">
        <v>300</v>
      </c>
      <c r="G164" s="0" t="n">
        <f aca="false">IF(D164="Mono&amp;Dual",MIN(E164,F164)*2,MIN(E164,F164))</f>
        <v>300</v>
      </c>
    </row>
    <row r="165" customFormat="false" ht="15" hidden="false" customHeight="false" outlineLevel="0" collapsed="false">
      <c r="A165" s="19" t="n">
        <v>4</v>
      </c>
      <c r="B165" s="20" t="n">
        <v>100</v>
      </c>
      <c r="C165" s="20" t="s">
        <v>286</v>
      </c>
      <c r="D165" s="20" t="s">
        <v>36</v>
      </c>
      <c r="E165" s="20"/>
      <c r="F165" s="21" t="n">
        <v>300</v>
      </c>
      <c r="G165" s="0" t="n">
        <f aca="false">IF(D165="Mono&amp;Dual",MIN(E165,F165)*2,MIN(E165,F165))</f>
        <v>300</v>
      </c>
    </row>
    <row r="166" customFormat="false" ht="15" hidden="false" customHeight="false" outlineLevel="0" collapsed="false">
      <c r="A166" s="16" t="n">
        <v>4</v>
      </c>
      <c r="B166" s="17" t="n">
        <v>100</v>
      </c>
      <c r="C166" s="17" t="s">
        <v>287</v>
      </c>
      <c r="D166" s="17" t="s">
        <v>36</v>
      </c>
      <c r="E166" s="17"/>
      <c r="F166" s="18" t="n">
        <v>300</v>
      </c>
      <c r="G166" s="0" t="n">
        <f aca="false">IF(D166="Mono&amp;Dual",MIN(E166,F166)*2,MIN(E166,F166))</f>
        <v>300</v>
      </c>
    </row>
    <row r="167" customFormat="false" ht="15" hidden="false" customHeight="false" outlineLevel="0" collapsed="false">
      <c r="A167" s="19" t="n">
        <v>4</v>
      </c>
      <c r="B167" s="20" t="n">
        <v>100</v>
      </c>
      <c r="C167" s="20" t="s">
        <v>288</v>
      </c>
      <c r="D167" s="20" t="s">
        <v>36</v>
      </c>
      <c r="E167" s="20"/>
      <c r="F167" s="21" t="n">
        <v>300</v>
      </c>
      <c r="G167" s="0" t="n">
        <f aca="false">IF(D167="Mono&amp;Dual",MIN(E167,F167)*2,MIN(E167,F167))</f>
        <v>300</v>
      </c>
    </row>
    <row r="168" customFormat="false" ht="15" hidden="false" customHeight="false" outlineLevel="0" collapsed="false">
      <c r="A168" s="16" t="n">
        <v>4</v>
      </c>
      <c r="B168" s="17" t="n">
        <v>100</v>
      </c>
      <c r="C168" s="17" t="s">
        <v>289</v>
      </c>
      <c r="D168" s="17" t="s">
        <v>36</v>
      </c>
      <c r="E168" s="17"/>
      <c r="F168" s="18" t="n">
        <v>300</v>
      </c>
      <c r="G168" s="0" t="n">
        <f aca="false">IF(D168="Mono&amp;Dual",MIN(E168,F168)*2,MIN(E168,F168))</f>
        <v>300</v>
      </c>
    </row>
    <row r="169" customFormat="false" ht="15" hidden="false" customHeight="false" outlineLevel="0" collapsed="false">
      <c r="A169" s="19" t="n">
        <v>4</v>
      </c>
      <c r="B169" s="20" t="n">
        <v>100</v>
      </c>
      <c r="C169" s="20" t="s">
        <v>290</v>
      </c>
      <c r="D169" s="20" t="s">
        <v>36</v>
      </c>
      <c r="E169" s="20"/>
      <c r="F169" s="21" t="n">
        <v>300</v>
      </c>
      <c r="G169" s="0" t="n">
        <f aca="false">IF(D169="Mono&amp;Dual",MIN(E169,F169)*2,MIN(E169,F169))</f>
        <v>300</v>
      </c>
    </row>
    <row r="170" customFormat="false" ht="15" hidden="false" customHeight="false" outlineLevel="0" collapsed="false">
      <c r="G170" s="0" t="n">
        <f aca="false">IF(D170="Mono&amp;Dual",MIN(E170,F170)*2,MIN(E170,F170))</f>
        <v>0</v>
      </c>
    </row>
    <row r="171" customFormat="false" ht="15" hidden="false" customHeight="false" outlineLevel="0" collapsed="false">
      <c r="G171" s="0" t="n">
        <f aca="false">IF(D171="Mono&amp;Dual",MIN(E171,F171)*2,MIN(E171,F171))</f>
        <v>0</v>
      </c>
    </row>
    <row r="172" customFormat="false" ht="15" hidden="false" customHeight="false" outlineLevel="0" collapsed="false">
      <c r="G172" s="0" t="n">
        <f aca="false">IF(D172="Mono&amp;Dual",MIN(E172,F172)*2,MIN(E172,F172))</f>
        <v>0</v>
      </c>
    </row>
    <row r="173" customFormat="false" ht="15" hidden="false" customHeight="false" outlineLevel="0" collapsed="false">
      <c r="G173" s="0" t="n">
        <f aca="false">IF(D173="Mono&amp;Dual",MIN(E173,F173)*2,MIN(E173,F173))</f>
        <v>0</v>
      </c>
    </row>
    <row r="174" customFormat="false" ht="15" hidden="false" customHeight="false" outlineLevel="0" collapsed="false">
      <c r="G174" s="0" t="n">
        <f aca="false">IF(D174="Mono&amp;Dual",MIN(E174,F174)*2,MIN(E174,F174))</f>
        <v>0</v>
      </c>
    </row>
    <row r="175" customFormat="false" ht="15" hidden="false" customHeight="false" outlineLevel="0" collapsed="false">
      <c r="G175" s="0" t="n">
        <f aca="false">IF(D175="Mono&amp;Dual",MIN(E175,F175)*2,MIN(E175,F175))</f>
        <v>0</v>
      </c>
    </row>
    <row r="176" customFormat="false" ht="15" hidden="false" customHeight="false" outlineLevel="0" collapsed="false">
      <c r="G176" s="0" t="n">
        <f aca="false">IF(D176="Mono&amp;Dual",MIN(E176,F176)*2,MIN(E176,F176))</f>
        <v>0</v>
      </c>
    </row>
    <row r="177" customFormat="false" ht="15" hidden="false" customHeight="false" outlineLevel="0" collapsed="false">
      <c r="G177" s="0" t="n">
        <f aca="false">IF(D177="Mono&amp;Dual",MIN(E177,F177)*2,MIN(E177,F177))</f>
        <v>0</v>
      </c>
    </row>
    <row r="178" customFormat="false" ht="15" hidden="false" customHeight="false" outlineLevel="0" collapsed="false">
      <c r="G178" s="0" t="n">
        <f aca="false">IF(D178="Mono&amp;Dual",MIN(E178,F178)*2,MIN(E178,F178))</f>
        <v>0</v>
      </c>
    </row>
    <row r="179" customFormat="false" ht="15" hidden="false" customHeight="false" outlineLevel="0" collapsed="false">
      <c r="G179" s="0" t="n">
        <f aca="false">IF(D179="Mono&amp;Dual",MIN(E179,F179)*2,MIN(E179,F179))</f>
        <v>0</v>
      </c>
    </row>
    <row r="180" customFormat="false" ht="15" hidden="false" customHeight="false" outlineLevel="0" collapsed="false">
      <c r="G180" s="0" t="n">
        <f aca="false">IF(D180="Mono&amp;Dual",MIN(E180,F180)*2,MIN(E180,F180))</f>
        <v>0</v>
      </c>
    </row>
    <row r="181" customFormat="false" ht="15" hidden="false" customHeight="false" outlineLevel="0" collapsed="false">
      <c r="G181" s="0" t="n">
        <f aca="false">IF(D181="Mono&amp;Dual",MIN(E181,F181)*2,MIN(E181,F181))</f>
        <v>0</v>
      </c>
    </row>
    <row r="182" customFormat="false" ht="15" hidden="false" customHeight="false" outlineLevel="0" collapsed="false">
      <c r="G182" s="0" t="n">
        <f aca="false">IF(D182="Mono&amp;Dual",MIN(E182,F182)*2,MIN(E182,F182))</f>
        <v>0</v>
      </c>
    </row>
    <row r="183" customFormat="false" ht="15" hidden="false" customHeight="false" outlineLevel="0" collapsed="false">
      <c r="G183" s="0" t="n">
        <f aca="false">IF(D183="Mono&amp;Dual",MIN(E183,F183)*2,MIN(E183,F183))</f>
        <v>0</v>
      </c>
    </row>
    <row r="184" customFormat="false" ht="15" hidden="false" customHeight="false" outlineLevel="0" collapsed="false">
      <c r="G184" s="0" t="n">
        <f aca="false">IF(D184="Mono&amp;Dual",MIN(E184,F184)*2,MIN(E184,F184))</f>
        <v>0</v>
      </c>
    </row>
    <row r="185" customFormat="false" ht="15" hidden="false" customHeight="false" outlineLevel="0" collapsed="false">
      <c r="G185" s="0" t="n">
        <f aca="false">IF(D185="Mono&amp;Dual",MIN(E185,F185)*2,MIN(E185,F185))</f>
        <v>0</v>
      </c>
    </row>
    <row r="186" customFormat="false" ht="15" hidden="false" customHeight="false" outlineLevel="0" collapsed="false">
      <c r="G186" s="0" t="n">
        <f aca="false">IF(D186="Mono&amp;Dual",MIN(E186,F186)*2,MIN(E186,F186))</f>
        <v>0</v>
      </c>
    </row>
    <row r="187" customFormat="false" ht="15" hidden="false" customHeight="false" outlineLevel="0" collapsed="false">
      <c r="G187" s="0" t="n">
        <f aca="false">IF(D187="Mono&amp;Dual",MIN(E187,F187)*2,MIN(E187,F187))</f>
        <v>0</v>
      </c>
    </row>
    <row r="188" customFormat="false" ht="15" hidden="false" customHeight="false" outlineLevel="0" collapsed="false">
      <c r="G188" s="0" t="n">
        <f aca="false">IF(D188="Mono&amp;Dual",MIN(E188,F188)*2,MIN(E188,F188))</f>
        <v>0</v>
      </c>
    </row>
    <row r="189" customFormat="false" ht="15" hidden="false" customHeight="false" outlineLevel="0" collapsed="false">
      <c r="G189" s="0" t="n">
        <f aca="false">IF(D189="Mono&amp;Dual",MIN(E189,F189)*2,MIN(E189,F189))</f>
        <v>0</v>
      </c>
    </row>
    <row r="190" customFormat="false" ht="15" hidden="false" customHeight="false" outlineLevel="0" collapsed="false">
      <c r="G190" s="0" t="n">
        <f aca="false">IF(D190="Mono&amp;Dual",MIN(E190,F190)*2,MIN(E190,F190))</f>
        <v>0</v>
      </c>
    </row>
    <row r="191" customFormat="false" ht="15" hidden="false" customHeight="false" outlineLevel="0" collapsed="false">
      <c r="G191" s="0" t="n">
        <f aca="false">IF(D191="Mono&amp;Dual",MIN(E191,F191)*2,MIN(E191,F191))</f>
        <v>0</v>
      </c>
    </row>
    <row r="192" customFormat="false" ht="15" hidden="false" customHeight="false" outlineLevel="0" collapsed="false">
      <c r="G192" s="0" t="n">
        <f aca="false">IF(D192="Mono&amp;Dual",MIN(E192,F192)*2,MIN(E192,F192))</f>
        <v>0</v>
      </c>
    </row>
    <row r="193" customFormat="false" ht="15" hidden="false" customHeight="false" outlineLevel="0" collapsed="false">
      <c r="G193" s="0" t="n">
        <f aca="false">IF(D193="Mono&amp;Dual",MIN(E193,F193)*2,MIN(E193,F193))</f>
        <v>0</v>
      </c>
    </row>
    <row r="194" customFormat="false" ht="15" hidden="false" customHeight="false" outlineLevel="0" collapsed="false">
      <c r="G194" s="0" t="n">
        <f aca="false">IF(D194="Mono&amp;Dual",MIN(E194,F194)*2,MIN(E194,F194))</f>
        <v>0</v>
      </c>
    </row>
    <row r="195" customFormat="false" ht="15" hidden="false" customHeight="false" outlineLevel="0" collapsed="false">
      <c r="G195" s="0" t="n">
        <f aca="false">IF(D195="Mono&amp;Dual",MIN(E195,F195)*2,MIN(E195,F195))</f>
        <v>0</v>
      </c>
    </row>
    <row r="196" customFormat="false" ht="15" hidden="false" customHeight="false" outlineLevel="0" collapsed="false">
      <c r="G196" s="0" t="n">
        <f aca="false">IF(D196="Mono&amp;Dual",MIN(E196,F196)*2,MIN(E196,F196))</f>
        <v>0</v>
      </c>
    </row>
    <row r="197" customFormat="false" ht="15" hidden="false" customHeight="false" outlineLevel="0" collapsed="false">
      <c r="G197" s="0" t="n">
        <f aca="false">IF(D197="Mono&amp;Dual",MIN(E197,F197)*2,MIN(E197,F197))</f>
        <v>0</v>
      </c>
    </row>
    <row r="198" customFormat="false" ht="15" hidden="false" customHeight="false" outlineLevel="0" collapsed="false">
      <c r="G198" s="0" t="n">
        <f aca="false">IF(D198="Mono&amp;Dual",MIN(E198,F198)*2,MIN(E198,F198))</f>
        <v>0</v>
      </c>
    </row>
    <row r="199" customFormat="false" ht="15" hidden="false" customHeight="false" outlineLevel="0" collapsed="false">
      <c r="G199" s="0" t="n">
        <f aca="false">IF(D199="Mono&amp;Dual",MIN(E199,F199)*2,MIN(E199,F199))</f>
        <v>0</v>
      </c>
    </row>
    <row r="200" customFormat="false" ht="15" hidden="false" customHeight="false" outlineLevel="0" collapsed="false">
      <c r="G200" s="0" t="n">
        <f aca="false">IF(D200="Mono&amp;Dual",MIN(E200,F200)*2,MIN(E200,F200))</f>
        <v>0</v>
      </c>
    </row>
    <row r="201" customFormat="false" ht="15" hidden="false" customHeight="false" outlineLevel="0" collapsed="false">
      <c r="G201" s="0" t="n">
        <f aca="false">IF(D201="Mono&amp;Dual",MIN(E201,F201)*2,MIN(E201,F201))</f>
        <v>0</v>
      </c>
    </row>
    <row r="202" customFormat="false" ht="15" hidden="false" customHeight="false" outlineLevel="0" collapsed="false">
      <c r="G202" s="0" t="n">
        <f aca="false">IF(D202="Mono&amp;Dual",MIN(E202,F202)*2,MIN(E202,F202))</f>
        <v>0</v>
      </c>
    </row>
    <row r="203" customFormat="false" ht="15" hidden="false" customHeight="false" outlineLevel="0" collapsed="false">
      <c r="G203" s="0" t="n">
        <f aca="false">IF(D203="Mono&amp;Dual",MIN(E203,F203)*2,MIN(E203,F203))</f>
        <v>0</v>
      </c>
    </row>
    <row r="204" customFormat="false" ht="15" hidden="false" customHeight="false" outlineLevel="0" collapsed="false">
      <c r="G204" s="0" t="n">
        <f aca="false">IF(D204="Mono&amp;Dual",MIN(E204,F204)*2,MIN(E204,F204))</f>
        <v>0</v>
      </c>
    </row>
    <row r="205" customFormat="false" ht="15" hidden="false" customHeight="false" outlineLevel="0" collapsed="false">
      <c r="G205" s="0" t="n">
        <f aca="false">IF(D205="Mono&amp;Dual",MIN(E205,F205)*2,MIN(E205,F205))</f>
        <v>0</v>
      </c>
    </row>
    <row r="206" customFormat="false" ht="15" hidden="false" customHeight="false" outlineLevel="0" collapsed="false">
      <c r="G206" s="0" t="n">
        <f aca="false">IF(D206="Mono&amp;Dual",MIN(E206,F206)*2,MIN(E206,F206))</f>
        <v>0</v>
      </c>
    </row>
    <row r="207" customFormat="false" ht="15" hidden="false" customHeight="false" outlineLevel="0" collapsed="false">
      <c r="G207" s="0" t="n">
        <f aca="false">IF(D207="Mono&amp;Dual",MIN(E207,F207)*2,MIN(E207,F207))</f>
        <v>0</v>
      </c>
    </row>
    <row r="208" customFormat="false" ht="15" hidden="false" customHeight="false" outlineLevel="0" collapsed="false">
      <c r="G208" s="0" t="n">
        <f aca="false">IF(D208="Mono&amp;Dual",MIN(E208,F208)*2,MIN(E208,F208))</f>
        <v>0</v>
      </c>
    </row>
    <row r="209" customFormat="false" ht="15" hidden="false" customHeight="false" outlineLevel="0" collapsed="false">
      <c r="G209" s="0" t="n">
        <f aca="false">IF(D209="Mono&amp;Dual",MIN(E209,F209)*2,MIN(E209,F209))</f>
        <v>0</v>
      </c>
    </row>
    <row r="210" customFormat="false" ht="15" hidden="false" customHeight="false" outlineLevel="0" collapsed="false">
      <c r="G210" s="0" t="n">
        <f aca="false">IF(D210="Mono&amp;Dual",MIN(E210,F210)*2,MIN(E210,F210))</f>
        <v>0</v>
      </c>
    </row>
    <row r="211" customFormat="false" ht="15" hidden="false" customHeight="false" outlineLevel="0" collapsed="false">
      <c r="G211" s="0" t="n">
        <f aca="false">IF(D211="Mono&amp;Dual",MIN(E211,F211)*2,MIN(E211,F211))</f>
        <v>0</v>
      </c>
    </row>
    <row r="212" customFormat="false" ht="15" hidden="false" customHeight="false" outlineLevel="0" collapsed="false">
      <c r="G212" s="0" t="n">
        <f aca="false">IF(D212="Mono&amp;Dual",MIN(E212,F212)*2,MIN(E212,F212))</f>
        <v>0</v>
      </c>
    </row>
    <row r="213" customFormat="false" ht="15" hidden="false" customHeight="false" outlineLevel="0" collapsed="false">
      <c r="G213" s="0" t="n">
        <f aca="false">IF(D213="Mono&amp;Dual",MIN(E213,F213)*2,MIN(E213,F213))</f>
        <v>0</v>
      </c>
    </row>
    <row r="214" customFormat="false" ht="15" hidden="false" customHeight="false" outlineLevel="0" collapsed="false">
      <c r="G214" s="0" t="n">
        <f aca="false">IF(D214="Mono&amp;Dual",MIN(E214,F214)*2,MIN(E214,F214))</f>
        <v>0</v>
      </c>
    </row>
    <row r="215" customFormat="false" ht="15" hidden="false" customHeight="false" outlineLevel="0" collapsed="false">
      <c r="G215" s="0" t="n">
        <f aca="false">IF(D215="Mono&amp;Dual",MIN(E215,F215)*2,MIN(E215,F215))</f>
        <v>0</v>
      </c>
    </row>
    <row r="216" customFormat="false" ht="15" hidden="false" customHeight="false" outlineLevel="0" collapsed="false">
      <c r="G216" s="0" t="n">
        <f aca="false">IF(D216="Mono&amp;Dual",MIN(E216,F216)*2,MIN(E216,F216))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E1" colorId="64" zoomScale="74" zoomScaleNormal="74" zoomScalePageLayoutView="100" workbookViewId="0">
      <selection pane="topLeft" activeCell="J3" activeCellId="0" sqref="J3"/>
    </sheetView>
  </sheetViews>
  <sheetFormatPr defaultColWidth="8.6171875" defaultRowHeight="15" customHeight="false" zeroHeight="false" outlineLevelRow="0" outlineLevelCol="0"/>
  <cols>
    <col collapsed="false" customWidth="true" hidden="false" outlineLevel="0" max="7" min="7" style="0" width="16.29"/>
    <col collapsed="false" customWidth="true" hidden="false" outlineLevel="0" max="8" min="8" style="0" width="9"/>
    <col collapsed="false" customWidth="true" hidden="false" outlineLevel="0" max="10" min="10" style="0" width="10.71"/>
    <col collapsed="false" customWidth="true" hidden="false" outlineLevel="0" max="11" min="11" style="0" width="12.71"/>
  </cols>
  <sheetData>
    <row r="1" customFormat="false" ht="15" hidden="false" customHeight="false" outlineLevel="0" collapsed="false">
      <c r="A1" s="13" t="s">
        <v>1</v>
      </c>
      <c r="B1" s="14" t="s">
        <v>25</v>
      </c>
      <c r="C1" s="14" t="s">
        <v>26</v>
      </c>
      <c r="D1" s="14" t="s">
        <v>27</v>
      </c>
      <c r="E1" s="14" t="s">
        <v>28</v>
      </c>
      <c r="F1" s="15" t="s">
        <v>29</v>
      </c>
      <c r="G1" s="0" t="s">
        <v>30</v>
      </c>
    </row>
    <row r="2" customFormat="false" ht="15" hidden="false" customHeight="false" outlineLevel="0" collapsed="false">
      <c r="A2" s="16" t="n">
        <v>5</v>
      </c>
      <c r="B2" s="17" t="n">
        <v>5</v>
      </c>
      <c r="C2" s="17" t="s">
        <v>215</v>
      </c>
      <c r="D2" s="17" t="s">
        <v>211</v>
      </c>
      <c r="E2" s="17" t="n">
        <v>15000</v>
      </c>
      <c r="F2" s="18" t="n">
        <v>24000</v>
      </c>
      <c r="G2" s="0" t="n">
        <f aca="false">IF(D2="Mono&amp;Dual",MIN(E2,F2)*2,MIN(E2,F2))</f>
        <v>30000</v>
      </c>
      <c r="J2" s="1" t="s">
        <v>0</v>
      </c>
      <c r="K2" s="1" t="s">
        <v>33</v>
      </c>
    </row>
    <row r="3" customFormat="false" ht="15" hidden="false" customHeight="false" outlineLevel="0" collapsed="false">
      <c r="A3" s="19" t="n">
        <v>5</v>
      </c>
      <c r="B3" s="20" t="n">
        <v>5</v>
      </c>
      <c r="C3" s="20" t="s">
        <v>216</v>
      </c>
      <c r="D3" s="20" t="s">
        <v>32</v>
      </c>
      <c r="E3" s="20" t="n">
        <v>1000</v>
      </c>
      <c r="F3" s="21"/>
      <c r="G3" s="0" t="n">
        <f aca="false">IF(D3="Mono&amp;Dual",MIN(E3,F3)*2,MIN(E3,F3))</f>
        <v>1000</v>
      </c>
      <c r="J3" s="1" t="n">
        <v>5</v>
      </c>
      <c r="K3" s="1" t="n">
        <f aca="false">SUMIFS(G:G,B:B,J3)/2</f>
        <v>24000</v>
      </c>
      <c r="L3" s="5"/>
      <c r="M3" s="5"/>
    </row>
    <row r="4" customFormat="false" ht="15" hidden="false" customHeight="false" outlineLevel="0" collapsed="false">
      <c r="A4" s="16" t="n">
        <v>5</v>
      </c>
      <c r="B4" s="17" t="n">
        <v>5</v>
      </c>
      <c r="C4" s="17" t="s">
        <v>223</v>
      </c>
      <c r="D4" s="17" t="s">
        <v>32</v>
      </c>
      <c r="E4" s="17" t="n">
        <v>1000</v>
      </c>
      <c r="F4" s="18"/>
      <c r="G4" s="0" t="n">
        <f aca="false">IF(D4="Mono&amp;Dual",MIN(E4,F4)*2,MIN(E4,F4))</f>
        <v>1000</v>
      </c>
      <c r="J4" s="1" t="n">
        <v>10</v>
      </c>
      <c r="K4" s="1" t="n">
        <f aca="false">SUMIFS(G:G,B:B,J4)/2</f>
        <v>19500</v>
      </c>
      <c r="L4" s="5"/>
      <c r="M4" s="5"/>
    </row>
    <row r="5" customFormat="false" ht="15" hidden="false" customHeight="false" outlineLevel="0" collapsed="false">
      <c r="A5" s="19" t="n">
        <v>5</v>
      </c>
      <c r="B5" s="20" t="n">
        <v>5</v>
      </c>
      <c r="C5" s="20" t="s">
        <v>224</v>
      </c>
      <c r="D5" s="20" t="s">
        <v>36</v>
      </c>
      <c r="E5" s="20"/>
      <c r="F5" s="21" t="n">
        <v>16000</v>
      </c>
      <c r="G5" s="0" t="n">
        <f aca="false">IF(D5="Mono&amp;Dual",MIN(E5,F5)*2,MIN(E5,F5))</f>
        <v>16000</v>
      </c>
      <c r="J5" s="1" t="n">
        <v>20</v>
      </c>
      <c r="K5" s="1" t="n">
        <f aca="false">SUMIFS(G:G,B:B,J5)/2</f>
        <v>31250</v>
      </c>
      <c r="L5" s="5"/>
      <c r="M5" s="5"/>
    </row>
    <row r="6" customFormat="false" ht="15" hidden="false" customHeight="false" outlineLevel="0" collapsed="false">
      <c r="A6" s="16" t="n">
        <v>5</v>
      </c>
      <c r="B6" s="17" t="n">
        <v>10</v>
      </c>
      <c r="C6" s="17" t="s">
        <v>215</v>
      </c>
      <c r="D6" s="17" t="s">
        <v>211</v>
      </c>
      <c r="E6" s="17" t="n">
        <v>10000</v>
      </c>
      <c r="F6" s="18" t="n">
        <v>6000</v>
      </c>
      <c r="G6" s="0" t="n">
        <f aca="false">IF(D6="Mono&amp;Dual",MIN(E6,F6)*2,MIN(E6,F6))</f>
        <v>12000</v>
      </c>
      <c r="J6" s="1" t="n">
        <v>30</v>
      </c>
      <c r="K6" s="1" t="n">
        <f aca="false">SUMIFS(G:G,B:B,J6)/2</f>
        <v>37250</v>
      </c>
      <c r="L6" s="5"/>
      <c r="M6" s="5"/>
    </row>
    <row r="7" customFormat="false" ht="15" hidden="false" customHeight="false" outlineLevel="0" collapsed="false">
      <c r="A7" s="19" t="n">
        <v>5</v>
      </c>
      <c r="B7" s="20" t="n">
        <v>10</v>
      </c>
      <c r="C7" s="20" t="s">
        <v>216</v>
      </c>
      <c r="D7" s="20" t="s">
        <v>211</v>
      </c>
      <c r="E7" s="20" t="n">
        <v>10000</v>
      </c>
      <c r="F7" s="21" t="n">
        <v>6000</v>
      </c>
      <c r="G7" s="0" t="n">
        <f aca="false">IF(D7="Mono&amp;Dual",MIN(E7,F7)*2,MIN(E7,F7))</f>
        <v>12000</v>
      </c>
      <c r="J7" s="1" t="n">
        <v>50</v>
      </c>
      <c r="K7" s="1" t="n">
        <f aca="false">SUMIFS(G:G,B:B,J7)/2</f>
        <v>32875</v>
      </c>
      <c r="L7" s="5"/>
      <c r="M7" s="5"/>
    </row>
    <row r="8" customFormat="false" ht="15" hidden="false" customHeight="false" outlineLevel="0" collapsed="false">
      <c r="A8" s="16" t="n">
        <v>5</v>
      </c>
      <c r="B8" s="17" t="n">
        <v>10</v>
      </c>
      <c r="C8" s="17" t="s">
        <v>223</v>
      </c>
      <c r="D8" s="17" t="s">
        <v>211</v>
      </c>
      <c r="E8" s="17" t="n">
        <v>1000</v>
      </c>
      <c r="F8" s="18" t="n">
        <v>2000</v>
      </c>
      <c r="G8" s="0" t="n">
        <f aca="false">IF(D8="Mono&amp;Dual",MIN(E8,F8)*2,MIN(E8,F8))</f>
        <v>2000</v>
      </c>
      <c r="J8" s="1" t="n">
        <v>100</v>
      </c>
      <c r="K8" s="1" t="n">
        <f aca="false">SUMIFS(G:G,B:B,J8)/2</f>
        <v>29600</v>
      </c>
      <c r="L8" s="5"/>
      <c r="M8" s="5"/>
    </row>
    <row r="9" customFormat="false" ht="15" hidden="false" customHeight="false" outlineLevel="0" collapsed="false">
      <c r="A9" s="19" t="n">
        <v>5</v>
      </c>
      <c r="B9" s="20" t="n">
        <v>10</v>
      </c>
      <c r="C9" s="20" t="s">
        <v>224</v>
      </c>
      <c r="D9" s="20" t="s">
        <v>32</v>
      </c>
      <c r="E9" s="20" t="n">
        <v>1000</v>
      </c>
      <c r="F9" s="21"/>
      <c r="G9" s="0" t="n">
        <f aca="false">IF(D9="Mono&amp;Dual",MIN(E9,F9)*2,MIN(E9,F9))</f>
        <v>1000</v>
      </c>
      <c r="J9" s="5"/>
      <c r="K9" s="5"/>
      <c r="L9" s="5"/>
      <c r="M9" s="5"/>
    </row>
    <row r="10" customFormat="false" ht="15" hidden="false" customHeight="false" outlineLevel="0" collapsed="false">
      <c r="A10" s="16" t="n">
        <v>5</v>
      </c>
      <c r="B10" s="17" t="n">
        <v>10</v>
      </c>
      <c r="C10" s="17" t="s">
        <v>217</v>
      </c>
      <c r="D10" s="17" t="s">
        <v>36</v>
      </c>
      <c r="E10" s="17"/>
      <c r="F10" s="18" t="n">
        <v>4000</v>
      </c>
      <c r="G10" s="0" t="n">
        <f aca="false">IF(D10="Mono&amp;Dual",MIN(E10,F10)*2,MIN(E10,F10))</f>
        <v>4000</v>
      </c>
    </row>
    <row r="11" customFormat="false" ht="15" hidden="false" customHeight="false" outlineLevel="0" collapsed="false">
      <c r="A11" s="19" t="n">
        <v>5</v>
      </c>
      <c r="B11" s="20" t="n">
        <v>10</v>
      </c>
      <c r="C11" s="20" t="s">
        <v>218</v>
      </c>
      <c r="D11" s="20" t="s">
        <v>36</v>
      </c>
      <c r="E11" s="20"/>
      <c r="F11" s="21" t="n">
        <v>4000</v>
      </c>
      <c r="G11" s="0" t="n">
        <f aca="false">IF(D11="Mono&amp;Dual",MIN(E11,F11)*2,MIN(E11,F11))</f>
        <v>4000</v>
      </c>
    </row>
    <row r="12" customFormat="false" ht="15" hidden="false" customHeight="false" outlineLevel="0" collapsed="false">
      <c r="A12" s="16" t="n">
        <v>5</v>
      </c>
      <c r="B12" s="17" t="n">
        <v>10</v>
      </c>
      <c r="C12" s="17" t="s">
        <v>219</v>
      </c>
      <c r="D12" s="17" t="s">
        <v>36</v>
      </c>
      <c r="E12" s="17"/>
      <c r="F12" s="18" t="n">
        <v>4000</v>
      </c>
      <c r="G12" s="0" t="n">
        <f aca="false">IF(D12="Mono&amp;Dual",MIN(E12,F12)*2,MIN(E12,F12))</f>
        <v>4000</v>
      </c>
    </row>
    <row r="13" customFormat="false" ht="15" hidden="false" customHeight="false" outlineLevel="0" collapsed="false">
      <c r="A13" s="19" t="n">
        <v>5</v>
      </c>
      <c r="B13" s="20" t="n">
        <v>20</v>
      </c>
      <c r="C13" s="20" t="s">
        <v>215</v>
      </c>
      <c r="D13" s="20" t="s">
        <v>211</v>
      </c>
      <c r="E13" s="20" t="n">
        <v>5000</v>
      </c>
      <c r="F13" s="21" t="n">
        <v>4000</v>
      </c>
      <c r="G13" s="0" t="n">
        <f aca="false">IF(D13="Mono&amp;Dual",MIN(E13,F13)*2,MIN(E13,F13))</f>
        <v>8000</v>
      </c>
    </row>
    <row r="14" customFormat="false" ht="15" hidden="false" customHeight="false" outlineLevel="0" collapsed="false">
      <c r="A14" s="16" t="n">
        <v>5</v>
      </c>
      <c r="B14" s="17" t="n">
        <v>20</v>
      </c>
      <c r="C14" s="17" t="s">
        <v>216</v>
      </c>
      <c r="D14" s="17" t="s">
        <v>211</v>
      </c>
      <c r="E14" s="17" t="n">
        <v>5000</v>
      </c>
      <c r="F14" s="18" t="n">
        <v>4000</v>
      </c>
      <c r="G14" s="0" t="n">
        <f aca="false">IF(D14="Mono&amp;Dual",MIN(E14,F14)*2,MIN(E14,F14))</f>
        <v>8000</v>
      </c>
    </row>
    <row r="15" customFormat="false" ht="15" hidden="false" customHeight="false" outlineLevel="0" collapsed="false">
      <c r="A15" s="19" t="n">
        <v>5</v>
      </c>
      <c r="B15" s="20" t="n">
        <v>20</v>
      </c>
      <c r="C15" s="20" t="s">
        <v>223</v>
      </c>
      <c r="D15" s="20" t="s">
        <v>211</v>
      </c>
      <c r="E15" s="20" t="n">
        <v>5000</v>
      </c>
      <c r="F15" s="21" t="n">
        <v>4000</v>
      </c>
      <c r="G15" s="0" t="n">
        <f aca="false">IF(D15="Mono&amp;Dual",MIN(E15,F15)*2,MIN(E15,F15))</f>
        <v>8000</v>
      </c>
    </row>
    <row r="16" customFormat="false" ht="15" hidden="false" customHeight="false" outlineLevel="0" collapsed="false">
      <c r="A16" s="16" t="n">
        <v>5</v>
      </c>
      <c r="B16" s="17" t="n">
        <v>20</v>
      </c>
      <c r="C16" s="17" t="s">
        <v>224</v>
      </c>
      <c r="D16" s="17" t="s">
        <v>211</v>
      </c>
      <c r="E16" s="17" t="n">
        <v>5000</v>
      </c>
      <c r="F16" s="18" t="n">
        <v>4000</v>
      </c>
      <c r="G16" s="0" t="n">
        <f aca="false">IF(D16="Mono&amp;Dual",MIN(E16,F16)*2,MIN(E16,F16))</f>
        <v>8000</v>
      </c>
    </row>
    <row r="17" customFormat="false" ht="15" hidden="false" customHeight="false" outlineLevel="0" collapsed="false">
      <c r="A17" s="19" t="n">
        <v>5</v>
      </c>
      <c r="B17" s="20" t="n">
        <v>20</v>
      </c>
      <c r="C17" s="20" t="s">
        <v>231</v>
      </c>
      <c r="D17" s="20" t="s">
        <v>211</v>
      </c>
      <c r="E17" s="20" t="n">
        <v>5000</v>
      </c>
      <c r="F17" s="21" t="n">
        <v>4000</v>
      </c>
      <c r="G17" s="0" t="n">
        <f aca="false">IF(D17="Mono&amp;Dual",MIN(E17,F17)*2,MIN(E17,F17))</f>
        <v>8000</v>
      </c>
    </row>
    <row r="18" customFormat="false" ht="15" hidden="false" customHeight="false" outlineLevel="0" collapsed="false">
      <c r="A18" s="16" t="n">
        <v>5</v>
      </c>
      <c r="B18" s="17" t="n">
        <v>20</v>
      </c>
      <c r="C18" s="17" t="s">
        <v>232</v>
      </c>
      <c r="D18" s="17" t="s">
        <v>32</v>
      </c>
      <c r="E18" s="17" t="n">
        <v>500</v>
      </c>
      <c r="F18" s="18"/>
      <c r="G18" s="0" t="n">
        <f aca="false">IF(D18="Mono&amp;Dual",MIN(E18,F18)*2,MIN(E18,F18))</f>
        <v>500</v>
      </c>
    </row>
    <row r="19" customFormat="false" ht="15" hidden="false" customHeight="false" outlineLevel="0" collapsed="false">
      <c r="A19" s="19" t="n">
        <v>5</v>
      </c>
      <c r="B19" s="20" t="n">
        <v>20</v>
      </c>
      <c r="C19" s="20" t="s">
        <v>233</v>
      </c>
      <c r="D19" s="20" t="s">
        <v>32</v>
      </c>
      <c r="E19" s="20" t="n">
        <v>500</v>
      </c>
      <c r="F19" s="21"/>
      <c r="G19" s="0" t="n">
        <f aca="false">IF(D19="Mono&amp;Dual",MIN(E19,F19)*2,MIN(E19,F19))</f>
        <v>500</v>
      </c>
    </row>
    <row r="20" customFormat="false" ht="15" hidden="false" customHeight="false" outlineLevel="0" collapsed="false">
      <c r="A20" s="16" t="n">
        <v>5</v>
      </c>
      <c r="B20" s="17" t="n">
        <v>20</v>
      </c>
      <c r="C20" s="17" t="s">
        <v>234</v>
      </c>
      <c r="D20" s="17" t="s">
        <v>32</v>
      </c>
      <c r="E20" s="17" t="n">
        <v>500</v>
      </c>
      <c r="F20" s="18"/>
      <c r="G20" s="0" t="n">
        <f aca="false">IF(D20="Mono&amp;Dual",MIN(E20,F20)*2,MIN(E20,F20))</f>
        <v>500</v>
      </c>
    </row>
    <row r="21" customFormat="false" ht="15" hidden="false" customHeight="false" outlineLevel="0" collapsed="false">
      <c r="A21" s="19" t="n">
        <v>5</v>
      </c>
      <c r="B21" s="20" t="n">
        <v>20</v>
      </c>
      <c r="C21" s="20" t="s">
        <v>235</v>
      </c>
      <c r="D21" s="20" t="s">
        <v>32</v>
      </c>
      <c r="E21" s="20" t="n">
        <v>500</v>
      </c>
      <c r="F21" s="21"/>
      <c r="G21" s="0" t="n">
        <f aca="false">IF(D21="Mono&amp;Dual",MIN(E21,F21)*2,MIN(E21,F21))</f>
        <v>500</v>
      </c>
    </row>
    <row r="22" customFormat="false" ht="15" hidden="false" customHeight="false" outlineLevel="0" collapsed="false">
      <c r="A22" s="16" t="n">
        <v>5</v>
      </c>
      <c r="B22" s="17" t="n">
        <v>20</v>
      </c>
      <c r="C22" s="17" t="s">
        <v>236</v>
      </c>
      <c r="D22" s="17" t="s">
        <v>32</v>
      </c>
      <c r="E22" s="17" t="n">
        <v>500</v>
      </c>
      <c r="F22" s="18"/>
      <c r="G22" s="0" t="n">
        <f aca="false">IF(D22="Mono&amp;Dual",MIN(E22,F22)*2,MIN(E22,F22))</f>
        <v>500</v>
      </c>
    </row>
    <row r="23" customFormat="false" ht="15" hidden="false" customHeight="false" outlineLevel="0" collapsed="false">
      <c r="A23" s="19" t="n">
        <v>5</v>
      </c>
      <c r="B23" s="20" t="n">
        <v>20</v>
      </c>
      <c r="C23" s="20" t="s">
        <v>217</v>
      </c>
      <c r="D23" s="20" t="s">
        <v>36</v>
      </c>
      <c r="E23" s="20"/>
      <c r="F23" s="21" t="n">
        <v>4000</v>
      </c>
      <c r="G23" s="0" t="n">
        <f aca="false">IF(D23="Mono&amp;Dual",MIN(E23,F23)*2,MIN(E23,F23))</f>
        <v>4000</v>
      </c>
    </row>
    <row r="24" customFormat="false" ht="15" hidden="false" customHeight="false" outlineLevel="0" collapsed="false">
      <c r="A24" s="16" t="n">
        <v>5</v>
      </c>
      <c r="B24" s="17" t="n">
        <v>20</v>
      </c>
      <c r="C24" s="17" t="s">
        <v>218</v>
      </c>
      <c r="D24" s="17" t="s">
        <v>36</v>
      </c>
      <c r="E24" s="17"/>
      <c r="F24" s="18" t="n">
        <v>4000</v>
      </c>
      <c r="G24" s="0" t="n">
        <f aca="false">IF(D24="Mono&amp;Dual",MIN(E24,F24)*2,MIN(E24,F24))</f>
        <v>4000</v>
      </c>
    </row>
    <row r="25" customFormat="false" ht="15" hidden="false" customHeight="false" outlineLevel="0" collapsed="false">
      <c r="A25" s="19" t="n">
        <v>5</v>
      </c>
      <c r="B25" s="20" t="n">
        <v>20</v>
      </c>
      <c r="C25" s="20" t="s">
        <v>219</v>
      </c>
      <c r="D25" s="20" t="s">
        <v>36</v>
      </c>
      <c r="E25" s="20"/>
      <c r="F25" s="21" t="n">
        <v>4000</v>
      </c>
      <c r="G25" s="0" t="n">
        <f aca="false">IF(D25="Mono&amp;Dual",MIN(E25,F25)*2,MIN(E25,F25))</f>
        <v>4000</v>
      </c>
    </row>
    <row r="26" customFormat="false" ht="15" hidden="false" customHeight="false" outlineLevel="0" collapsed="false">
      <c r="A26" s="16" t="n">
        <v>5</v>
      </c>
      <c r="B26" s="17" t="n">
        <v>20</v>
      </c>
      <c r="C26" s="17" t="s">
        <v>220</v>
      </c>
      <c r="D26" s="17" t="s">
        <v>36</v>
      </c>
      <c r="E26" s="17"/>
      <c r="F26" s="18" t="n">
        <v>4000</v>
      </c>
      <c r="G26" s="0" t="n">
        <f aca="false">IF(D26="Mono&amp;Dual",MIN(E26,F26)*2,MIN(E26,F26))</f>
        <v>4000</v>
      </c>
    </row>
    <row r="27" customFormat="false" ht="15" hidden="false" customHeight="false" outlineLevel="0" collapsed="false">
      <c r="A27" s="19" t="n">
        <v>5</v>
      </c>
      <c r="B27" s="20" t="n">
        <v>20</v>
      </c>
      <c r="C27" s="20" t="s">
        <v>221</v>
      </c>
      <c r="D27" s="20" t="s">
        <v>36</v>
      </c>
      <c r="E27" s="20"/>
      <c r="F27" s="21" t="n">
        <v>4000</v>
      </c>
      <c r="G27" s="0" t="n">
        <f aca="false">IF(D27="Mono&amp;Dual",MIN(E27,F27)*2,MIN(E27,F27))</f>
        <v>4000</v>
      </c>
    </row>
    <row r="28" customFormat="false" ht="15" hidden="false" customHeight="false" outlineLevel="0" collapsed="false">
      <c r="A28" s="16" t="n">
        <v>5</v>
      </c>
      <c r="B28" s="17" t="n">
        <v>30</v>
      </c>
      <c r="C28" s="17" t="s">
        <v>215</v>
      </c>
      <c r="D28" s="17" t="s">
        <v>211</v>
      </c>
      <c r="E28" s="17" t="n">
        <v>10000</v>
      </c>
      <c r="F28" s="18" t="n">
        <v>4000</v>
      </c>
      <c r="G28" s="0" t="n">
        <f aca="false">IF(D28="Mono&amp;Dual",MIN(E28,F28)*2,MIN(E28,F28))</f>
        <v>8000</v>
      </c>
    </row>
    <row r="29" customFormat="false" ht="15" hidden="false" customHeight="false" outlineLevel="0" collapsed="false">
      <c r="A29" s="19" t="n">
        <v>5</v>
      </c>
      <c r="B29" s="20" t="n">
        <v>30</v>
      </c>
      <c r="C29" s="20" t="s">
        <v>216</v>
      </c>
      <c r="D29" s="20" t="s">
        <v>211</v>
      </c>
      <c r="E29" s="20" t="n">
        <v>10000</v>
      </c>
      <c r="F29" s="21" t="n">
        <v>4000</v>
      </c>
      <c r="G29" s="0" t="n">
        <f aca="false">IF(D29="Mono&amp;Dual",MIN(E29,F29)*2,MIN(E29,F29))</f>
        <v>8000</v>
      </c>
    </row>
    <row r="30" customFormat="false" ht="15" hidden="false" customHeight="false" outlineLevel="0" collapsed="false">
      <c r="A30" s="16" t="n">
        <v>5</v>
      </c>
      <c r="B30" s="17" t="n">
        <v>30</v>
      </c>
      <c r="C30" s="17" t="s">
        <v>223</v>
      </c>
      <c r="D30" s="17" t="s">
        <v>211</v>
      </c>
      <c r="E30" s="17" t="n">
        <v>10000</v>
      </c>
      <c r="F30" s="18" t="n">
        <v>4000</v>
      </c>
      <c r="G30" s="0" t="n">
        <f aca="false">IF(D30="Mono&amp;Dual",MIN(E30,F30)*2,MIN(E30,F30))</f>
        <v>8000</v>
      </c>
    </row>
    <row r="31" customFormat="false" ht="15" hidden="false" customHeight="false" outlineLevel="0" collapsed="false">
      <c r="A31" s="19" t="n">
        <v>5</v>
      </c>
      <c r="B31" s="20" t="n">
        <v>30</v>
      </c>
      <c r="C31" s="20" t="s">
        <v>224</v>
      </c>
      <c r="D31" s="20" t="s">
        <v>211</v>
      </c>
      <c r="E31" s="20" t="n">
        <v>10000</v>
      </c>
      <c r="F31" s="21" t="n">
        <v>4000</v>
      </c>
      <c r="G31" s="0" t="n">
        <f aca="false">IF(D31="Mono&amp;Dual",MIN(E31,F31)*2,MIN(E31,F31))</f>
        <v>8000</v>
      </c>
    </row>
    <row r="32" customFormat="false" ht="15" hidden="false" customHeight="false" outlineLevel="0" collapsed="false">
      <c r="A32" s="16" t="n">
        <v>5</v>
      </c>
      <c r="B32" s="17" t="n">
        <v>30</v>
      </c>
      <c r="C32" s="17" t="s">
        <v>231</v>
      </c>
      <c r="D32" s="17" t="s">
        <v>211</v>
      </c>
      <c r="E32" s="17" t="n">
        <v>10000</v>
      </c>
      <c r="F32" s="18" t="n">
        <v>4000</v>
      </c>
      <c r="G32" s="0" t="n">
        <f aca="false">IF(D32="Mono&amp;Dual",MIN(E32,F32)*2,MIN(E32,F32))</f>
        <v>8000</v>
      </c>
    </row>
    <row r="33" customFormat="false" ht="15" hidden="false" customHeight="false" outlineLevel="0" collapsed="false">
      <c r="A33" s="19" t="n">
        <v>5</v>
      </c>
      <c r="B33" s="20" t="n">
        <v>30</v>
      </c>
      <c r="C33" s="20" t="s">
        <v>232</v>
      </c>
      <c r="D33" s="20" t="s">
        <v>211</v>
      </c>
      <c r="E33" s="20" t="n">
        <v>10000</v>
      </c>
      <c r="F33" s="21" t="n">
        <v>4000</v>
      </c>
      <c r="G33" s="0" t="n">
        <f aca="false">IF(D33="Mono&amp;Dual",MIN(E33,F33)*2,MIN(E33,F33))</f>
        <v>8000</v>
      </c>
    </row>
    <row r="34" customFormat="false" ht="15" hidden="false" customHeight="false" outlineLevel="0" collapsed="false">
      <c r="A34" s="16" t="n">
        <v>5</v>
      </c>
      <c r="B34" s="17" t="n">
        <v>30</v>
      </c>
      <c r="C34" s="17" t="s">
        <v>233</v>
      </c>
      <c r="D34" s="17" t="s">
        <v>211</v>
      </c>
      <c r="E34" s="17" t="n">
        <v>500</v>
      </c>
      <c r="F34" s="18" t="n">
        <v>4000</v>
      </c>
      <c r="G34" s="0" t="n">
        <f aca="false">IF(D34="Mono&amp;Dual",MIN(E34,F34)*2,MIN(E34,F34))</f>
        <v>1000</v>
      </c>
    </row>
    <row r="35" customFormat="false" ht="15" hidden="false" customHeight="false" outlineLevel="0" collapsed="false">
      <c r="A35" s="19" t="n">
        <v>5</v>
      </c>
      <c r="B35" s="20" t="n">
        <v>30</v>
      </c>
      <c r="C35" s="20" t="s">
        <v>234</v>
      </c>
      <c r="D35" s="20" t="s">
        <v>32</v>
      </c>
      <c r="E35" s="20" t="n">
        <v>500</v>
      </c>
      <c r="F35" s="21"/>
      <c r="G35" s="0" t="n">
        <f aca="false">IF(D35="Mono&amp;Dual",MIN(E35,F35)*2,MIN(E35,F35))</f>
        <v>500</v>
      </c>
    </row>
    <row r="36" customFormat="false" ht="15" hidden="false" customHeight="false" outlineLevel="0" collapsed="false">
      <c r="A36" s="16" t="n">
        <v>5</v>
      </c>
      <c r="B36" s="17" t="n">
        <v>30</v>
      </c>
      <c r="C36" s="17" t="s">
        <v>235</v>
      </c>
      <c r="D36" s="17" t="s">
        <v>32</v>
      </c>
      <c r="E36" s="17" t="n">
        <v>500</v>
      </c>
      <c r="F36" s="18"/>
      <c r="G36" s="0" t="n">
        <f aca="false">IF(D36="Mono&amp;Dual",MIN(E36,F36)*2,MIN(E36,F36))</f>
        <v>500</v>
      </c>
    </row>
    <row r="37" customFormat="false" ht="15" hidden="false" customHeight="false" outlineLevel="0" collapsed="false">
      <c r="A37" s="19" t="n">
        <v>5</v>
      </c>
      <c r="B37" s="20" t="n">
        <v>30</v>
      </c>
      <c r="C37" s="20" t="s">
        <v>236</v>
      </c>
      <c r="D37" s="20" t="s">
        <v>32</v>
      </c>
      <c r="E37" s="20" t="n">
        <v>500</v>
      </c>
      <c r="F37" s="21"/>
      <c r="G37" s="0" t="n">
        <f aca="false">IF(D37="Mono&amp;Dual",MIN(E37,F37)*2,MIN(E37,F37))</f>
        <v>500</v>
      </c>
    </row>
    <row r="38" customFormat="false" ht="15" hidden="false" customHeight="false" outlineLevel="0" collapsed="false">
      <c r="A38" s="16" t="n">
        <v>5</v>
      </c>
      <c r="B38" s="17" t="n">
        <v>30</v>
      </c>
      <c r="C38" s="17" t="s">
        <v>237</v>
      </c>
      <c r="D38" s="17" t="s">
        <v>32</v>
      </c>
      <c r="E38" s="17" t="n">
        <v>500</v>
      </c>
      <c r="F38" s="18"/>
      <c r="G38" s="0" t="n">
        <f aca="false">IF(D38="Mono&amp;Dual",MIN(E38,F38)*2,MIN(E38,F38))</f>
        <v>500</v>
      </c>
    </row>
    <row r="39" customFormat="false" ht="15" hidden="false" customHeight="false" outlineLevel="0" collapsed="false">
      <c r="A39" s="19" t="n">
        <v>5</v>
      </c>
      <c r="B39" s="20" t="n">
        <v>30</v>
      </c>
      <c r="C39" s="20" t="s">
        <v>238</v>
      </c>
      <c r="D39" s="20" t="s">
        <v>32</v>
      </c>
      <c r="E39" s="20" t="n">
        <v>500</v>
      </c>
      <c r="F39" s="21"/>
      <c r="G39" s="0" t="n">
        <f aca="false">IF(D39="Mono&amp;Dual",MIN(E39,F39)*2,MIN(E39,F39))</f>
        <v>500</v>
      </c>
    </row>
    <row r="40" customFormat="false" ht="15" hidden="false" customHeight="false" outlineLevel="0" collapsed="false">
      <c r="A40" s="16" t="n">
        <v>5</v>
      </c>
      <c r="B40" s="17" t="n">
        <v>30</v>
      </c>
      <c r="C40" s="17" t="s">
        <v>239</v>
      </c>
      <c r="D40" s="17" t="s">
        <v>32</v>
      </c>
      <c r="E40" s="17" t="n">
        <v>500</v>
      </c>
      <c r="F40" s="18"/>
      <c r="G40" s="0" t="n">
        <f aca="false">IF(D40="Mono&amp;Dual",MIN(E40,F40)*2,MIN(E40,F40))</f>
        <v>500</v>
      </c>
    </row>
    <row r="41" customFormat="false" ht="15" hidden="false" customHeight="false" outlineLevel="0" collapsed="false">
      <c r="A41" s="19" t="n">
        <v>5</v>
      </c>
      <c r="B41" s="20" t="n">
        <v>30</v>
      </c>
      <c r="C41" s="20" t="s">
        <v>240</v>
      </c>
      <c r="D41" s="20" t="s">
        <v>32</v>
      </c>
      <c r="E41" s="20" t="n">
        <v>500</v>
      </c>
      <c r="F41" s="21"/>
      <c r="G41" s="0" t="n">
        <f aca="false">IF(D41="Mono&amp;Dual",MIN(E41,F41)*2,MIN(E41,F41))</f>
        <v>500</v>
      </c>
    </row>
    <row r="42" customFormat="false" ht="15" hidden="false" customHeight="false" outlineLevel="0" collapsed="false">
      <c r="A42" s="16" t="n">
        <v>5</v>
      </c>
      <c r="B42" s="17" t="n">
        <v>30</v>
      </c>
      <c r="C42" s="17" t="s">
        <v>241</v>
      </c>
      <c r="D42" s="17" t="s">
        <v>32</v>
      </c>
      <c r="E42" s="17" t="n">
        <v>500</v>
      </c>
      <c r="F42" s="18"/>
      <c r="G42" s="0" t="n">
        <f aca="false">IF(D42="Mono&amp;Dual",MIN(E42,F42)*2,MIN(E42,F42))</f>
        <v>500</v>
      </c>
    </row>
    <row r="43" customFormat="false" ht="15" hidden="false" customHeight="false" outlineLevel="0" collapsed="false">
      <c r="A43" s="19" t="n">
        <v>5</v>
      </c>
      <c r="B43" s="20" t="n">
        <v>30</v>
      </c>
      <c r="C43" s="20" t="s">
        <v>242</v>
      </c>
      <c r="D43" s="20" t="s">
        <v>32</v>
      </c>
      <c r="E43" s="20" t="n">
        <v>500</v>
      </c>
      <c r="F43" s="21"/>
      <c r="G43" s="0" t="n">
        <f aca="false">IF(D43="Mono&amp;Dual",MIN(E43,F43)*2,MIN(E43,F43))</f>
        <v>500</v>
      </c>
    </row>
    <row r="44" customFormat="false" ht="15" hidden="false" customHeight="false" outlineLevel="0" collapsed="false">
      <c r="A44" s="16" t="n">
        <v>5</v>
      </c>
      <c r="B44" s="17" t="n">
        <v>30</v>
      </c>
      <c r="C44" s="17" t="s">
        <v>243</v>
      </c>
      <c r="D44" s="17" t="s">
        <v>32</v>
      </c>
      <c r="E44" s="17" t="n">
        <v>500</v>
      </c>
      <c r="F44" s="18"/>
      <c r="G44" s="0" t="n">
        <f aca="false">IF(D44="Mono&amp;Dual",MIN(E44,F44)*2,MIN(E44,F44))</f>
        <v>500</v>
      </c>
    </row>
    <row r="45" customFormat="false" ht="15" hidden="false" customHeight="false" outlineLevel="0" collapsed="false">
      <c r="A45" s="19" t="n">
        <v>5</v>
      </c>
      <c r="B45" s="20" t="n">
        <v>30</v>
      </c>
      <c r="C45" s="20" t="s">
        <v>244</v>
      </c>
      <c r="D45" s="20" t="s">
        <v>32</v>
      </c>
      <c r="E45" s="20" t="n">
        <v>500</v>
      </c>
      <c r="F45" s="21"/>
      <c r="G45" s="0" t="n">
        <f aca="false">IF(D45="Mono&amp;Dual",MIN(E45,F45)*2,MIN(E45,F45))</f>
        <v>500</v>
      </c>
    </row>
    <row r="46" customFormat="false" ht="15" hidden="false" customHeight="false" outlineLevel="0" collapsed="false">
      <c r="A46" s="16" t="n">
        <v>5</v>
      </c>
      <c r="B46" s="17" t="n">
        <v>30</v>
      </c>
      <c r="C46" s="17" t="s">
        <v>217</v>
      </c>
      <c r="D46" s="17" t="s">
        <v>36</v>
      </c>
      <c r="E46" s="17"/>
      <c r="F46" s="18" t="n">
        <v>4000</v>
      </c>
      <c r="G46" s="0" t="n">
        <f aca="false">IF(D46="Mono&amp;Dual",MIN(E46,F46)*2,MIN(E46,F46))</f>
        <v>4000</v>
      </c>
    </row>
    <row r="47" customFormat="false" ht="15" hidden="false" customHeight="false" outlineLevel="0" collapsed="false">
      <c r="A47" s="19" t="n">
        <v>5</v>
      </c>
      <c r="B47" s="20" t="n">
        <v>30</v>
      </c>
      <c r="C47" s="20" t="s">
        <v>218</v>
      </c>
      <c r="D47" s="20" t="s">
        <v>36</v>
      </c>
      <c r="E47" s="20"/>
      <c r="F47" s="21" t="n">
        <v>4000</v>
      </c>
      <c r="G47" s="0" t="n">
        <f aca="false">IF(D47="Mono&amp;Dual",MIN(E47,F47)*2,MIN(E47,F47))</f>
        <v>4000</v>
      </c>
    </row>
    <row r="48" customFormat="false" ht="15" hidden="false" customHeight="false" outlineLevel="0" collapsed="false">
      <c r="A48" s="16" t="n">
        <v>5</v>
      </c>
      <c r="B48" s="17" t="n">
        <v>30</v>
      </c>
      <c r="C48" s="17" t="s">
        <v>219</v>
      </c>
      <c r="D48" s="17" t="s">
        <v>36</v>
      </c>
      <c r="E48" s="17"/>
      <c r="F48" s="18" t="n">
        <v>4000</v>
      </c>
      <c r="G48" s="0" t="n">
        <f aca="false">IF(D48="Mono&amp;Dual",MIN(E48,F48)*2,MIN(E48,F48))</f>
        <v>4000</v>
      </c>
    </row>
    <row r="49" customFormat="false" ht="15" hidden="false" customHeight="false" outlineLevel="0" collapsed="false">
      <c r="A49" s="19" t="n">
        <v>5</v>
      </c>
      <c r="B49" s="20" t="n">
        <v>30</v>
      </c>
      <c r="C49" s="20" t="s">
        <v>220</v>
      </c>
      <c r="D49" s="20" t="s">
        <v>36</v>
      </c>
      <c r="E49" s="20"/>
      <c r="F49" s="21" t="n">
        <v>4000</v>
      </c>
      <c r="G49" s="0" t="n">
        <f aca="false">IF(D49="Mono&amp;Dual",MIN(E49,F49)*2,MIN(E49,F49))</f>
        <v>4000</v>
      </c>
    </row>
    <row r="50" customFormat="false" ht="15" hidden="false" customHeight="false" outlineLevel="0" collapsed="false">
      <c r="A50" s="16" t="n">
        <v>5</v>
      </c>
      <c r="B50" s="17" t="n">
        <v>30</v>
      </c>
      <c r="C50" s="17" t="s">
        <v>221</v>
      </c>
      <c r="D50" s="17" t="s">
        <v>36</v>
      </c>
      <c r="E50" s="17"/>
      <c r="F50" s="18" t="n">
        <v>4000</v>
      </c>
      <c r="G50" s="0" t="n">
        <f aca="false">IF(D50="Mono&amp;Dual",MIN(E50,F50)*2,MIN(E50,F50))</f>
        <v>4000</v>
      </c>
    </row>
    <row r="51" customFormat="false" ht="15" hidden="false" customHeight="false" outlineLevel="0" collapsed="false">
      <c r="A51" s="19" t="n">
        <v>5</v>
      </c>
      <c r="B51" s="20" t="n">
        <v>50</v>
      </c>
      <c r="C51" s="20" t="s">
        <v>215</v>
      </c>
      <c r="D51" s="20" t="s">
        <v>211</v>
      </c>
      <c r="E51" s="20" t="n">
        <v>6000</v>
      </c>
      <c r="F51" s="21" t="n">
        <v>2000</v>
      </c>
      <c r="G51" s="0" t="n">
        <f aca="false">IF(D51="Mono&amp;Dual",MIN(E51,F51)*2,MIN(E51,F51))</f>
        <v>4000</v>
      </c>
    </row>
    <row r="52" customFormat="false" ht="15" hidden="false" customHeight="false" outlineLevel="0" collapsed="false">
      <c r="A52" s="16" t="n">
        <v>5</v>
      </c>
      <c r="B52" s="17" t="n">
        <v>50</v>
      </c>
      <c r="C52" s="17" t="s">
        <v>216</v>
      </c>
      <c r="D52" s="17" t="s">
        <v>211</v>
      </c>
      <c r="E52" s="17" t="n">
        <v>6000</v>
      </c>
      <c r="F52" s="18" t="n">
        <v>2000</v>
      </c>
      <c r="G52" s="0" t="n">
        <f aca="false">IF(D52="Mono&amp;Dual",MIN(E52,F52)*2,MIN(E52,F52))</f>
        <v>4000</v>
      </c>
    </row>
    <row r="53" customFormat="false" ht="15" hidden="false" customHeight="false" outlineLevel="0" collapsed="false">
      <c r="A53" s="19" t="n">
        <v>5</v>
      </c>
      <c r="B53" s="20" t="n">
        <v>50</v>
      </c>
      <c r="C53" s="20" t="s">
        <v>223</v>
      </c>
      <c r="D53" s="20" t="s">
        <v>211</v>
      </c>
      <c r="E53" s="20" t="n">
        <v>6000</v>
      </c>
      <c r="F53" s="21" t="n">
        <v>2000</v>
      </c>
      <c r="G53" s="0" t="n">
        <f aca="false">IF(D53="Mono&amp;Dual",MIN(E53,F53)*2,MIN(E53,F53))</f>
        <v>4000</v>
      </c>
    </row>
    <row r="54" customFormat="false" ht="15" hidden="false" customHeight="false" outlineLevel="0" collapsed="false">
      <c r="A54" s="16" t="n">
        <v>5</v>
      </c>
      <c r="B54" s="17" t="n">
        <v>50</v>
      </c>
      <c r="C54" s="17" t="s">
        <v>224</v>
      </c>
      <c r="D54" s="17" t="s">
        <v>211</v>
      </c>
      <c r="E54" s="17" t="n">
        <v>6000</v>
      </c>
      <c r="F54" s="18" t="n">
        <v>2000</v>
      </c>
      <c r="G54" s="0" t="n">
        <f aca="false">IF(D54="Mono&amp;Dual",MIN(E54,F54)*2,MIN(E54,F54))</f>
        <v>4000</v>
      </c>
    </row>
    <row r="55" customFormat="false" ht="15" hidden="false" customHeight="false" outlineLevel="0" collapsed="false">
      <c r="A55" s="19" t="n">
        <v>5</v>
      </c>
      <c r="B55" s="20" t="n">
        <v>50</v>
      </c>
      <c r="C55" s="20" t="s">
        <v>231</v>
      </c>
      <c r="D55" s="20" t="s">
        <v>211</v>
      </c>
      <c r="E55" s="20" t="n">
        <v>6000</v>
      </c>
      <c r="F55" s="21" t="n">
        <v>2000</v>
      </c>
      <c r="G55" s="0" t="n">
        <f aca="false">IF(D55="Mono&amp;Dual",MIN(E55,F55)*2,MIN(E55,F55))</f>
        <v>4000</v>
      </c>
    </row>
    <row r="56" customFormat="false" ht="15" hidden="false" customHeight="false" outlineLevel="0" collapsed="false">
      <c r="A56" s="16" t="n">
        <v>5</v>
      </c>
      <c r="B56" s="17" t="n">
        <v>50</v>
      </c>
      <c r="C56" s="17" t="s">
        <v>232</v>
      </c>
      <c r="D56" s="17" t="s">
        <v>211</v>
      </c>
      <c r="E56" s="17" t="n">
        <v>6000</v>
      </c>
      <c r="F56" s="18" t="n">
        <v>2000</v>
      </c>
      <c r="G56" s="0" t="n">
        <f aca="false">IF(D56="Mono&amp;Dual",MIN(E56,F56)*2,MIN(E56,F56))</f>
        <v>4000</v>
      </c>
    </row>
    <row r="57" customFormat="false" ht="15" hidden="false" customHeight="false" outlineLevel="0" collapsed="false">
      <c r="A57" s="19" t="n">
        <v>5</v>
      </c>
      <c r="B57" s="20" t="n">
        <v>50</v>
      </c>
      <c r="C57" s="20" t="s">
        <v>233</v>
      </c>
      <c r="D57" s="20" t="s">
        <v>211</v>
      </c>
      <c r="E57" s="20" t="n">
        <v>6000</v>
      </c>
      <c r="F57" s="21" t="n">
        <v>2000</v>
      </c>
      <c r="G57" s="0" t="n">
        <f aca="false">IF(D57="Mono&amp;Dual",MIN(E57,F57)*2,MIN(E57,F57))</f>
        <v>4000</v>
      </c>
    </row>
    <row r="58" customFormat="false" ht="15" hidden="false" customHeight="false" outlineLevel="0" collapsed="false">
      <c r="A58" s="16" t="n">
        <v>5</v>
      </c>
      <c r="B58" s="17" t="n">
        <v>50</v>
      </c>
      <c r="C58" s="17" t="s">
        <v>234</v>
      </c>
      <c r="D58" s="17" t="s">
        <v>211</v>
      </c>
      <c r="E58" s="17" t="n">
        <v>6000</v>
      </c>
      <c r="F58" s="18" t="n">
        <v>2000</v>
      </c>
      <c r="G58" s="0" t="n">
        <f aca="false">IF(D58="Mono&amp;Dual",MIN(E58,F58)*2,MIN(E58,F58))</f>
        <v>4000</v>
      </c>
    </row>
    <row r="59" customFormat="false" ht="15" hidden="false" customHeight="false" outlineLevel="0" collapsed="false">
      <c r="A59" s="19" t="n">
        <v>5</v>
      </c>
      <c r="B59" s="20" t="n">
        <v>50</v>
      </c>
      <c r="C59" s="20" t="s">
        <v>235</v>
      </c>
      <c r="D59" s="20" t="s">
        <v>211</v>
      </c>
      <c r="E59" s="20" t="n">
        <v>6000</v>
      </c>
      <c r="F59" s="21" t="n">
        <v>2000</v>
      </c>
      <c r="G59" s="0" t="n">
        <f aca="false">IF(D59="Mono&amp;Dual",MIN(E59,F59)*2,MIN(E59,F59))</f>
        <v>4000</v>
      </c>
    </row>
    <row r="60" customFormat="false" ht="15" hidden="false" customHeight="false" outlineLevel="0" collapsed="false">
      <c r="A60" s="16" t="n">
        <v>5</v>
      </c>
      <c r="B60" s="17" t="n">
        <v>50</v>
      </c>
      <c r="C60" s="17" t="s">
        <v>236</v>
      </c>
      <c r="D60" s="17" t="s">
        <v>211</v>
      </c>
      <c r="E60" s="17" t="n">
        <v>6000</v>
      </c>
      <c r="F60" s="18" t="n">
        <v>2000</v>
      </c>
      <c r="G60" s="0" t="n">
        <f aca="false">IF(D60="Mono&amp;Dual",MIN(E60,F60)*2,MIN(E60,F60))</f>
        <v>4000</v>
      </c>
    </row>
    <row r="61" customFormat="false" ht="15" hidden="false" customHeight="false" outlineLevel="0" collapsed="false">
      <c r="A61" s="19" t="n">
        <v>5</v>
      </c>
      <c r="B61" s="20" t="n">
        <v>50</v>
      </c>
      <c r="C61" s="20" t="s">
        <v>237</v>
      </c>
      <c r="D61" s="20" t="s">
        <v>211</v>
      </c>
      <c r="E61" s="20" t="n">
        <v>6000</v>
      </c>
      <c r="F61" s="21" t="n">
        <v>2000</v>
      </c>
      <c r="G61" s="0" t="n">
        <f aca="false">IF(D61="Mono&amp;Dual",MIN(E61,F61)*2,MIN(E61,F61))</f>
        <v>4000</v>
      </c>
    </row>
    <row r="62" customFormat="false" ht="15" hidden="false" customHeight="false" outlineLevel="0" collapsed="false">
      <c r="A62" s="16" t="n">
        <v>5</v>
      </c>
      <c r="B62" s="17" t="n">
        <v>50</v>
      </c>
      <c r="C62" s="17" t="s">
        <v>238</v>
      </c>
      <c r="D62" s="17" t="s">
        <v>211</v>
      </c>
      <c r="E62" s="17" t="n">
        <v>6000</v>
      </c>
      <c r="F62" s="18" t="n">
        <v>2000</v>
      </c>
      <c r="G62" s="0" t="n">
        <f aca="false">IF(D62="Mono&amp;Dual",MIN(E62,F62)*2,MIN(E62,F62))</f>
        <v>4000</v>
      </c>
    </row>
    <row r="63" customFormat="false" ht="15" hidden="false" customHeight="false" outlineLevel="0" collapsed="false">
      <c r="A63" s="19" t="n">
        <v>5</v>
      </c>
      <c r="B63" s="20" t="n">
        <v>50</v>
      </c>
      <c r="C63" s="20" t="s">
        <v>239</v>
      </c>
      <c r="D63" s="20" t="s">
        <v>211</v>
      </c>
      <c r="E63" s="20" t="n">
        <v>500</v>
      </c>
      <c r="F63" s="21" t="n">
        <v>2000</v>
      </c>
      <c r="G63" s="0" t="n">
        <f aca="false">IF(D63="Mono&amp;Dual",MIN(E63,F63)*2,MIN(E63,F63))</f>
        <v>1000</v>
      </c>
    </row>
    <row r="64" customFormat="false" ht="15" hidden="false" customHeight="false" outlineLevel="0" collapsed="false">
      <c r="A64" s="16" t="n">
        <v>5</v>
      </c>
      <c r="B64" s="17" t="n">
        <v>50</v>
      </c>
      <c r="C64" s="17" t="s">
        <v>240</v>
      </c>
      <c r="D64" s="17" t="s">
        <v>211</v>
      </c>
      <c r="E64" s="17" t="n">
        <v>500</v>
      </c>
      <c r="F64" s="18" t="n">
        <v>2000</v>
      </c>
      <c r="G64" s="0" t="n">
        <f aca="false">IF(D64="Mono&amp;Dual",MIN(E64,F64)*2,MIN(E64,F64))</f>
        <v>1000</v>
      </c>
    </row>
    <row r="65" customFormat="false" ht="15" hidden="false" customHeight="false" outlineLevel="0" collapsed="false">
      <c r="A65" s="19" t="n">
        <v>5</v>
      </c>
      <c r="B65" s="20" t="n">
        <v>50</v>
      </c>
      <c r="C65" s="20" t="s">
        <v>241</v>
      </c>
      <c r="D65" s="20" t="s">
        <v>211</v>
      </c>
      <c r="E65" s="20" t="n">
        <v>500</v>
      </c>
      <c r="F65" s="21" t="n">
        <v>2000</v>
      </c>
      <c r="G65" s="0" t="n">
        <f aca="false">IF(D65="Mono&amp;Dual",MIN(E65,F65)*2,MIN(E65,F65))</f>
        <v>1000</v>
      </c>
    </row>
    <row r="66" customFormat="false" ht="15" hidden="false" customHeight="false" outlineLevel="0" collapsed="false">
      <c r="A66" s="16" t="n">
        <v>5</v>
      </c>
      <c r="B66" s="17" t="n">
        <v>50</v>
      </c>
      <c r="C66" s="17" t="s">
        <v>242</v>
      </c>
      <c r="D66" s="17" t="s">
        <v>211</v>
      </c>
      <c r="E66" s="17" t="n">
        <v>500</v>
      </c>
      <c r="F66" s="18" t="n">
        <v>2000</v>
      </c>
      <c r="G66" s="0" t="n">
        <f aca="false">IF(D66="Mono&amp;Dual",MIN(E66,F66)*2,MIN(E66,F66))</f>
        <v>1000</v>
      </c>
    </row>
    <row r="67" customFormat="false" ht="15" hidden="false" customHeight="false" outlineLevel="0" collapsed="false">
      <c r="A67" s="19" t="n">
        <v>5</v>
      </c>
      <c r="B67" s="20" t="n">
        <v>50</v>
      </c>
      <c r="C67" s="20" t="s">
        <v>243</v>
      </c>
      <c r="D67" s="20" t="s">
        <v>211</v>
      </c>
      <c r="E67" s="20" t="n">
        <v>500</v>
      </c>
      <c r="F67" s="21" t="n">
        <v>2000</v>
      </c>
      <c r="G67" s="0" t="n">
        <f aca="false">IF(D67="Mono&amp;Dual",MIN(E67,F67)*2,MIN(E67,F67))</f>
        <v>1000</v>
      </c>
    </row>
    <row r="68" customFormat="false" ht="15" hidden="false" customHeight="false" outlineLevel="0" collapsed="false">
      <c r="A68" s="16" t="n">
        <v>5</v>
      </c>
      <c r="B68" s="17" t="n">
        <v>50</v>
      </c>
      <c r="C68" s="17" t="s">
        <v>244</v>
      </c>
      <c r="D68" s="17" t="s">
        <v>32</v>
      </c>
      <c r="E68" s="17" t="n">
        <v>250</v>
      </c>
      <c r="F68" s="18"/>
      <c r="G68" s="0" t="n">
        <f aca="false">IF(D68="Mono&amp;Dual",MIN(E68,F68)*2,MIN(E68,F68))</f>
        <v>250</v>
      </c>
    </row>
    <row r="69" customFormat="false" ht="15" hidden="false" customHeight="false" outlineLevel="0" collapsed="false">
      <c r="A69" s="19" t="n">
        <v>5</v>
      </c>
      <c r="B69" s="20" t="n">
        <v>50</v>
      </c>
      <c r="C69" s="20" t="s">
        <v>245</v>
      </c>
      <c r="D69" s="20" t="s">
        <v>32</v>
      </c>
      <c r="E69" s="20" t="n">
        <v>250</v>
      </c>
      <c r="F69" s="21"/>
      <c r="G69" s="0" t="n">
        <f aca="false">IF(D69="Mono&amp;Dual",MIN(E69,F69)*2,MIN(E69,F69))</f>
        <v>250</v>
      </c>
    </row>
    <row r="70" customFormat="false" ht="15" hidden="false" customHeight="false" outlineLevel="0" collapsed="false">
      <c r="A70" s="16" t="n">
        <v>5</v>
      </c>
      <c r="B70" s="17" t="n">
        <v>50</v>
      </c>
      <c r="C70" s="17" t="s">
        <v>246</v>
      </c>
      <c r="D70" s="17" t="s">
        <v>32</v>
      </c>
      <c r="E70" s="17" t="n">
        <v>250</v>
      </c>
      <c r="F70" s="18"/>
      <c r="G70" s="0" t="n">
        <f aca="false">IF(D70="Mono&amp;Dual",MIN(E70,F70)*2,MIN(E70,F70))</f>
        <v>250</v>
      </c>
    </row>
    <row r="71" customFormat="false" ht="15" hidden="false" customHeight="false" outlineLevel="0" collapsed="false">
      <c r="A71" s="19" t="n">
        <v>5</v>
      </c>
      <c r="B71" s="20" t="n">
        <v>50</v>
      </c>
      <c r="C71" s="20" t="s">
        <v>295</v>
      </c>
      <c r="D71" s="20" t="s">
        <v>32</v>
      </c>
      <c r="E71" s="20" t="n">
        <v>250</v>
      </c>
      <c r="F71" s="21"/>
      <c r="G71" s="0" t="n">
        <f aca="false">IF(D71="Mono&amp;Dual",MIN(E71,F71)*2,MIN(E71,F71))</f>
        <v>250</v>
      </c>
    </row>
    <row r="72" customFormat="false" ht="15" hidden="false" customHeight="false" outlineLevel="0" collapsed="false">
      <c r="A72" s="16" t="n">
        <v>5</v>
      </c>
      <c r="B72" s="17" t="n">
        <v>50</v>
      </c>
      <c r="C72" s="17" t="s">
        <v>296</v>
      </c>
      <c r="D72" s="17" t="s">
        <v>32</v>
      </c>
      <c r="E72" s="17" t="n">
        <v>250</v>
      </c>
      <c r="F72" s="18"/>
      <c r="G72" s="0" t="n">
        <f aca="false">IF(D72="Mono&amp;Dual",MIN(E72,F72)*2,MIN(E72,F72))</f>
        <v>250</v>
      </c>
    </row>
    <row r="73" customFormat="false" ht="15" hidden="false" customHeight="false" outlineLevel="0" collapsed="false">
      <c r="A73" s="19" t="n">
        <v>5</v>
      </c>
      <c r="B73" s="20" t="n">
        <v>50</v>
      </c>
      <c r="C73" s="20" t="s">
        <v>297</v>
      </c>
      <c r="D73" s="20" t="s">
        <v>32</v>
      </c>
      <c r="E73" s="20" t="n">
        <v>250</v>
      </c>
      <c r="F73" s="21"/>
      <c r="G73" s="0" t="n">
        <f aca="false">IF(D73="Mono&amp;Dual",MIN(E73,F73)*2,MIN(E73,F73))</f>
        <v>250</v>
      </c>
    </row>
    <row r="74" customFormat="false" ht="15" hidden="false" customHeight="false" outlineLevel="0" collapsed="false">
      <c r="A74" s="16" t="n">
        <v>5</v>
      </c>
      <c r="B74" s="17" t="n">
        <v>50</v>
      </c>
      <c r="C74" s="17" t="s">
        <v>298</v>
      </c>
      <c r="D74" s="17" t="s">
        <v>32</v>
      </c>
      <c r="E74" s="17" t="n">
        <v>250</v>
      </c>
      <c r="F74" s="18"/>
      <c r="G74" s="0" t="n">
        <f aca="false">IF(D74="Mono&amp;Dual",MIN(E74,F74)*2,MIN(E74,F74))</f>
        <v>250</v>
      </c>
    </row>
    <row r="75" customFormat="false" ht="15" hidden="false" customHeight="false" outlineLevel="0" collapsed="false">
      <c r="A75" s="19" t="n">
        <v>5</v>
      </c>
      <c r="B75" s="20" t="n">
        <v>50</v>
      </c>
      <c r="C75" s="20" t="s">
        <v>299</v>
      </c>
      <c r="D75" s="20" t="s">
        <v>32</v>
      </c>
      <c r="E75" s="20" t="n">
        <v>250</v>
      </c>
      <c r="F75" s="21"/>
      <c r="G75" s="0" t="n">
        <f aca="false">IF(D75="Mono&amp;Dual",MIN(E75,F75)*2,MIN(E75,F75))</f>
        <v>250</v>
      </c>
    </row>
    <row r="76" customFormat="false" ht="15" hidden="false" customHeight="false" outlineLevel="0" collapsed="false">
      <c r="A76" s="16" t="n">
        <v>5</v>
      </c>
      <c r="B76" s="17" t="n">
        <v>50</v>
      </c>
      <c r="C76" s="17" t="s">
        <v>300</v>
      </c>
      <c r="D76" s="17" t="s">
        <v>32</v>
      </c>
      <c r="E76" s="17" t="n">
        <v>250</v>
      </c>
      <c r="F76" s="18"/>
      <c r="G76" s="0" t="n">
        <f aca="false">IF(D76="Mono&amp;Dual",MIN(E76,F76)*2,MIN(E76,F76))</f>
        <v>250</v>
      </c>
    </row>
    <row r="77" customFormat="false" ht="15" hidden="false" customHeight="false" outlineLevel="0" collapsed="false">
      <c r="A77" s="19" t="n">
        <v>5</v>
      </c>
      <c r="B77" s="20" t="n">
        <v>50</v>
      </c>
      <c r="C77" s="20" t="s">
        <v>301</v>
      </c>
      <c r="D77" s="20" t="s">
        <v>32</v>
      </c>
      <c r="E77" s="20" t="n">
        <v>250</v>
      </c>
      <c r="F77" s="21"/>
      <c r="G77" s="0" t="n">
        <f aca="false">IF(D77="Mono&amp;Dual",MIN(E77,F77)*2,MIN(E77,F77))</f>
        <v>250</v>
      </c>
    </row>
    <row r="78" customFormat="false" ht="15" hidden="false" customHeight="false" outlineLevel="0" collapsed="false">
      <c r="A78" s="16" t="n">
        <v>5</v>
      </c>
      <c r="B78" s="17" t="n">
        <v>50</v>
      </c>
      <c r="C78" s="17" t="s">
        <v>302</v>
      </c>
      <c r="D78" s="17" t="s">
        <v>32</v>
      </c>
      <c r="E78" s="17" t="n">
        <v>250</v>
      </c>
      <c r="F78" s="18"/>
      <c r="G78" s="0" t="n">
        <f aca="false">IF(D78="Mono&amp;Dual",MIN(E78,F78)*2,MIN(E78,F78))</f>
        <v>250</v>
      </c>
    </row>
    <row r="79" customFormat="false" ht="15" hidden="false" customHeight="false" outlineLevel="0" collapsed="false">
      <c r="A79" s="19" t="n">
        <v>5</v>
      </c>
      <c r="B79" s="20" t="n">
        <v>50</v>
      </c>
      <c r="C79" s="20" t="s">
        <v>217</v>
      </c>
      <c r="D79" s="20" t="s">
        <v>36</v>
      </c>
      <c r="E79" s="20"/>
      <c r="F79" s="21" t="n">
        <v>2000</v>
      </c>
      <c r="G79" s="0" t="n">
        <f aca="false">IF(D79="Mono&amp;Dual",MIN(E79,F79)*2,MIN(E79,F79))</f>
        <v>2000</v>
      </c>
    </row>
    <row r="80" customFormat="false" ht="15" hidden="false" customHeight="false" outlineLevel="0" collapsed="false">
      <c r="A80" s="16" t="n">
        <v>5</v>
      </c>
      <c r="B80" s="17" t="n">
        <v>50</v>
      </c>
      <c r="C80" s="17" t="s">
        <v>218</v>
      </c>
      <c r="D80" s="17" t="s">
        <v>36</v>
      </c>
      <c r="E80" s="17"/>
      <c r="F80" s="18" t="n">
        <v>2000</v>
      </c>
      <c r="G80" s="0" t="n">
        <f aca="false">IF(D80="Mono&amp;Dual",MIN(E80,F80)*2,MIN(E80,F80))</f>
        <v>2000</v>
      </c>
    </row>
    <row r="81" customFormat="false" ht="15" hidden="false" customHeight="false" outlineLevel="0" collapsed="false">
      <c r="A81" s="19" t="n">
        <v>5</v>
      </c>
      <c r="B81" s="20" t="n">
        <v>50</v>
      </c>
      <c r="C81" s="20" t="s">
        <v>219</v>
      </c>
      <c r="D81" s="20" t="s">
        <v>36</v>
      </c>
      <c r="E81" s="20"/>
      <c r="F81" s="21" t="n">
        <v>2000</v>
      </c>
      <c r="G81" s="0" t="n">
        <f aca="false">IF(D81="Mono&amp;Dual",MIN(E81,F81)*2,MIN(E81,F81))</f>
        <v>2000</v>
      </c>
    </row>
    <row r="82" customFormat="false" ht="15" hidden="false" customHeight="false" outlineLevel="0" collapsed="false">
      <c r="A82" s="16" t="n">
        <v>5</v>
      </c>
      <c r="B82" s="17" t="n">
        <v>50</v>
      </c>
      <c r="C82" s="17" t="s">
        <v>220</v>
      </c>
      <c r="D82" s="17" t="s">
        <v>36</v>
      </c>
      <c r="E82" s="17"/>
      <c r="F82" s="18" t="n">
        <v>2000</v>
      </c>
      <c r="G82" s="0" t="n">
        <f aca="false">IF(D82="Mono&amp;Dual",MIN(E82,F82)*2,MIN(E82,F82))</f>
        <v>2000</v>
      </c>
    </row>
    <row r="83" customFormat="false" ht="15" hidden="false" customHeight="false" outlineLevel="0" collapsed="false">
      <c r="A83" s="19" t="n">
        <v>5</v>
      </c>
      <c r="B83" s="20" t="n">
        <v>50</v>
      </c>
      <c r="C83" s="20" t="s">
        <v>221</v>
      </c>
      <c r="D83" s="20" t="s">
        <v>36</v>
      </c>
      <c r="E83" s="20"/>
      <c r="F83" s="21" t="n">
        <v>2000</v>
      </c>
      <c r="G83" s="0" t="n">
        <f aca="false">IF(D83="Mono&amp;Dual",MIN(E83,F83)*2,MIN(E83,F83))</f>
        <v>2000</v>
      </c>
    </row>
    <row r="84" customFormat="false" ht="15" hidden="false" customHeight="false" outlineLevel="0" collapsed="false">
      <c r="A84" s="16" t="n">
        <v>5</v>
      </c>
      <c r="B84" s="17" t="n">
        <v>100</v>
      </c>
      <c r="C84" s="17" t="s">
        <v>215</v>
      </c>
      <c r="D84" s="17" t="s">
        <v>211</v>
      </c>
      <c r="E84" s="17" t="n">
        <v>10000</v>
      </c>
      <c r="F84" s="18" t="n">
        <v>2000</v>
      </c>
      <c r="G84" s="0" t="n">
        <f aca="false">IF(D84="Mono&amp;Dual",MIN(E84,F84)*2,MIN(E84,F84))</f>
        <v>4000</v>
      </c>
    </row>
    <row r="85" customFormat="false" ht="15" hidden="false" customHeight="false" outlineLevel="0" collapsed="false">
      <c r="A85" s="19" t="n">
        <v>5</v>
      </c>
      <c r="B85" s="20" t="n">
        <v>100</v>
      </c>
      <c r="C85" s="20" t="s">
        <v>216</v>
      </c>
      <c r="D85" s="20" t="s">
        <v>211</v>
      </c>
      <c r="E85" s="20" t="n">
        <v>10000</v>
      </c>
      <c r="F85" s="21" t="n">
        <v>2000</v>
      </c>
      <c r="G85" s="0" t="n">
        <f aca="false">IF(D85="Mono&amp;Dual",MIN(E85,F85)*2,MIN(E85,F85))</f>
        <v>4000</v>
      </c>
    </row>
    <row r="86" customFormat="false" ht="15" hidden="false" customHeight="false" outlineLevel="0" collapsed="false">
      <c r="A86" s="16" t="n">
        <v>5</v>
      </c>
      <c r="B86" s="17" t="n">
        <v>100</v>
      </c>
      <c r="C86" s="17" t="s">
        <v>223</v>
      </c>
      <c r="D86" s="17" t="s">
        <v>211</v>
      </c>
      <c r="E86" s="17" t="n">
        <v>10000</v>
      </c>
      <c r="F86" s="18" t="n">
        <v>2000</v>
      </c>
      <c r="G86" s="0" t="n">
        <f aca="false">IF(D86="Mono&amp;Dual",MIN(E86,F86)*2,MIN(E86,F86))</f>
        <v>4000</v>
      </c>
    </row>
    <row r="87" customFormat="false" ht="15" hidden="false" customHeight="false" outlineLevel="0" collapsed="false">
      <c r="A87" s="19" t="n">
        <v>5</v>
      </c>
      <c r="B87" s="20" t="n">
        <v>100</v>
      </c>
      <c r="C87" s="20" t="s">
        <v>224</v>
      </c>
      <c r="D87" s="20" t="s">
        <v>211</v>
      </c>
      <c r="E87" s="20" t="n">
        <v>10000</v>
      </c>
      <c r="F87" s="21" t="n">
        <v>2000</v>
      </c>
      <c r="G87" s="0" t="n">
        <f aca="false">IF(D87="Mono&amp;Dual",MIN(E87,F87)*2,MIN(E87,F87))</f>
        <v>4000</v>
      </c>
    </row>
    <row r="88" customFormat="false" ht="15" hidden="false" customHeight="false" outlineLevel="0" collapsed="false">
      <c r="A88" s="16" t="n">
        <v>5</v>
      </c>
      <c r="B88" s="17" t="n">
        <v>100</v>
      </c>
      <c r="C88" s="17" t="s">
        <v>231</v>
      </c>
      <c r="D88" s="17" t="s">
        <v>211</v>
      </c>
      <c r="E88" s="17" t="n">
        <v>10000</v>
      </c>
      <c r="F88" s="18" t="n">
        <v>2000</v>
      </c>
      <c r="G88" s="0" t="n">
        <f aca="false">IF(D88="Mono&amp;Dual",MIN(E88,F88)*2,MIN(E88,F88))</f>
        <v>4000</v>
      </c>
    </row>
    <row r="89" customFormat="false" ht="15" hidden="false" customHeight="false" outlineLevel="0" collapsed="false">
      <c r="A89" s="19" t="n">
        <v>5</v>
      </c>
      <c r="B89" s="20" t="n">
        <v>100</v>
      </c>
      <c r="C89" s="20" t="s">
        <v>232</v>
      </c>
      <c r="D89" s="20" t="s">
        <v>211</v>
      </c>
      <c r="E89" s="20" t="n">
        <v>10000</v>
      </c>
      <c r="F89" s="21" t="n">
        <v>2000</v>
      </c>
      <c r="G89" s="0" t="n">
        <f aca="false">IF(D89="Mono&amp;Dual",MIN(E89,F89)*2,MIN(E89,F89))</f>
        <v>4000</v>
      </c>
    </row>
    <row r="90" customFormat="false" ht="15" hidden="false" customHeight="false" outlineLevel="0" collapsed="false">
      <c r="A90" s="16" t="n">
        <v>5</v>
      </c>
      <c r="B90" s="17" t="n">
        <v>100</v>
      </c>
      <c r="C90" s="17" t="s">
        <v>233</v>
      </c>
      <c r="D90" s="17" t="s">
        <v>211</v>
      </c>
      <c r="E90" s="17" t="n">
        <v>300</v>
      </c>
      <c r="F90" s="18" t="n">
        <v>1000</v>
      </c>
      <c r="G90" s="0" t="n">
        <f aca="false">IF(D90="Mono&amp;Dual",MIN(E90,F90)*2,MIN(E90,F90))</f>
        <v>600</v>
      </c>
    </row>
    <row r="91" customFormat="false" ht="15" hidden="false" customHeight="false" outlineLevel="0" collapsed="false">
      <c r="A91" s="19" t="n">
        <v>5</v>
      </c>
      <c r="B91" s="20" t="n">
        <v>100</v>
      </c>
      <c r="C91" s="20" t="s">
        <v>234</v>
      </c>
      <c r="D91" s="20" t="s">
        <v>211</v>
      </c>
      <c r="E91" s="20" t="n">
        <v>300</v>
      </c>
      <c r="F91" s="21" t="n">
        <v>1000</v>
      </c>
      <c r="G91" s="0" t="n">
        <f aca="false">IF(D91="Mono&amp;Dual",MIN(E91,F91)*2,MIN(E91,F91))</f>
        <v>600</v>
      </c>
    </row>
    <row r="92" customFormat="false" ht="15" hidden="false" customHeight="false" outlineLevel="0" collapsed="false">
      <c r="A92" s="16" t="n">
        <v>5</v>
      </c>
      <c r="B92" s="17" t="n">
        <v>100</v>
      </c>
      <c r="C92" s="17" t="s">
        <v>235</v>
      </c>
      <c r="D92" s="17" t="s">
        <v>211</v>
      </c>
      <c r="E92" s="17" t="n">
        <v>300</v>
      </c>
      <c r="F92" s="18" t="n">
        <v>1000</v>
      </c>
      <c r="G92" s="0" t="n">
        <f aca="false">IF(D92="Mono&amp;Dual",MIN(E92,F92)*2,MIN(E92,F92))</f>
        <v>600</v>
      </c>
    </row>
    <row r="93" customFormat="false" ht="15" hidden="false" customHeight="false" outlineLevel="0" collapsed="false">
      <c r="A93" s="19" t="n">
        <v>5</v>
      </c>
      <c r="B93" s="20" t="n">
        <v>100</v>
      </c>
      <c r="C93" s="20" t="s">
        <v>236</v>
      </c>
      <c r="D93" s="20" t="s">
        <v>211</v>
      </c>
      <c r="E93" s="20" t="n">
        <v>300</v>
      </c>
      <c r="F93" s="21" t="n">
        <v>1000</v>
      </c>
      <c r="G93" s="0" t="n">
        <f aca="false">IF(D93="Mono&amp;Dual",MIN(E93,F93)*2,MIN(E93,F93))</f>
        <v>600</v>
      </c>
    </row>
    <row r="94" customFormat="false" ht="15" hidden="false" customHeight="false" outlineLevel="0" collapsed="false">
      <c r="A94" s="16" t="n">
        <v>5</v>
      </c>
      <c r="B94" s="17" t="n">
        <v>100</v>
      </c>
      <c r="C94" s="17" t="s">
        <v>237</v>
      </c>
      <c r="D94" s="17" t="s">
        <v>211</v>
      </c>
      <c r="E94" s="17" t="n">
        <v>300</v>
      </c>
      <c r="F94" s="18" t="n">
        <v>1000</v>
      </c>
      <c r="G94" s="0" t="n">
        <f aca="false">IF(D94="Mono&amp;Dual",MIN(E94,F94)*2,MIN(E94,F94))</f>
        <v>600</v>
      </c>
    </row>
    <row r="95" customFormat="false" ht="15" hidden="false" customHeight="false" outlineLevel="0" collapsed="false">
      <c r="A95" s="19" t="n">
        <v>5</v>
      </c>
      <c r="B95" s="20" t="n">
        <v>100</v>
      </c>
      <c r="C95" s="20" t="s">
        <v>238</v>
      </c>
      <c r="D95" s="20" t="s">
        <v>211</v>
      </c>
      <c r="E95" s="20" t="n">
        <v>300</v>
      </c>
      <c r="F95" s="21" t="n">
        <v>1000</v>
      </c>
      <c r="G95" s="0" t="n">
        <f aca="false">IF(D95="Mono&amp;Dual",MIN(E95,F95)*2,MIN(E95,F95))</f>
        <v>600</v>
      </c>
    </row>
    <row r="96" customFormat="false" ht="15" hidden="false" customHeight="false" outlineLevel="0" collapsed="false">
      <c r="A96" s="16" t="n">
        <v>5</v>
      </c>
      <c r="B96" s="17" t="n">
        <v>100</v>
      </c>
      <c r="C96" s="17" t="s">
        <v>239</v>
      </c>
      <c r="D96" s="17" t="s">
        <v>211</v>
      </c>
      <c r="E96" s="17" t="n">
        <v>300</v>
      </c>
      <c r="F96" s="18" t="n">
        <v>1000</v>
      </c>
      <c r="G96" s="0" t="n">
        <f aca="false">IF(D96="Mono&amp;Dual",MIN(E96,F96)*2,MIN(E96,F96))</f>
        <v>600</v>
      </c>
    </row>
    <row r="97" customFormat="false" ht="15" hidden="false" customHeight="false" outlineLevel="0" collapsed="false">
      <c r="A97" s="19" t="n">
        <v>5</v>
      </c>
      <c r="B97" s="20" t="n">
        <v>100</v>
      </c>
      <c r="C97" s="20" t="s">
        <v>240</v>
      </c>
      <c r="D97" s="20" t="s">
        <v>211</v>
      </c>
      <c r="E97" s="20" t="n">
        <v>300</v>
      </c>
      <c r="F97" s="21" t="n">
        <v>1000</v>
      </c>
      <c r="G97" s="0" t="n">
        <f aca="false">IF(D97="Mono&amp;Dual",MIN(E97,F97)*2,MIN(E97,F97))</f>
        <v>600</v>
      </c>
    </row>
    <row r="98" customFormat="false" ht="15" hidden="false" customHeight="false" outlineLevel="0" collapsed="false">
      <c r="A98" s="16" t="n">
        <v>5</v>
      </c>
      <c r="B98" s="17" t="n">
        <v>100</v>
      </c>
      <c r="C98" s="17" t="s">
        <v>241</v>
      </c>
      <c r="D98" s="17" t="s">
        <v>211</v>
      </c>
      <c r="E98" s="17" t="n">
        <v>300</v>
      </c>
      <c r="F98" s="18" t="n">
        <v>1000</v>
      </c>
      <c r="G98" s="0" t="n">
        <f aca="false">IF(D98="Mono&amp;Dual",MIN(E98,F98)*2,MIN(E98,F98))</f>
        <v>600</v>
      </c>
    </row>
    <row r="99" customFormat="false" ht="15" hidden="false" customHeight="false" outlineLevel="0" collapsed="false">
      <c r="A99" s="19" t="n">
        <v>5</v>
      </c>
      <c r="B99" s="20" t="n">
        <v>100</v>
      </c>
      <c r="C99" s="20" t="s">
        <v>242</v>
      </c>
      <c r="D99" s="20" t="s">
        <v>211</v>
      </c>
      <c r="E99" s="20" t="n">
        <v>300</v>
      </c>
      <c r="F99" s="21" t="n">
        <v>1000</v>
      </c>
      <c r="G99" s="0" t="n">
        <f aca="false">IF(D99="Mono&amp;Dual",MIN(E99,F99)*2,MIN(E99,F99))</f>
        <v>600</v>
      </c>
    </row>
    <row r="100" customFormat="false" ht="15" hidden="false" customHeight="false" outlineLevel="0" collapsed="false">
      <c r="A100" s="16" t="n">
        <v>5</v>
      </c>
      <c r="B100" s="17" t="n">
        <v>100</v>
      </c>
      <c r="C100" s="17" t="s">
        <v>243</v>
      </c>
      <c r="D100" s="17" t="s">
        <v>211</v>
      </c>
      <c r="E100" s="17" t="n">
        <v>300</v>
      </c>
      <c r="F100" s="18" t="n">
        <v>1000</v>
      </c>
      <c r="G100" s="0" t="n">
        <f aca="false">IF(D100="Mono&amp;Dual",MIN(E100,F100)*2,MIN(E100,F100))</f>
        <v>600</v>
      </c>
    </row>
    <row r="101" customFormat="false" ht="15" hidden="false" customHeight="false" outlineLevel="0" collapsed="false">
      <c r="A101" s="19" t="n">
        <v>5</v>
      </c>
      <c r="B101" s="20" t="n">
        <v>100</v>
      </c>
      <c r="C101" s="20" t="s">
        <v>244</v>
      </c>
      <c r="D101" s="20" t="s">
        <v>211</v>
      </c>
      <c r="E101" s="20" t="n">
        <v>300</v>
      </c>
      <c r="F101" s="21" t="n">
        <v>1000</v>
      </c>
      <c r="G101" s="0" t="n">
        <f aca="false">IF(D101="Mono&amp;Dual",MIN(E101,F101)*2,MIN(E101,F101))</f>
        <v>600</v>
      </c>
    </row>
    <row r="102" customFormat="false" ht="15" hidden="false" customHeight="false" outlineLevel="0" collapsed="false">
      <c r="A102" s="16" t="n">
        <v>5</v>
      </c>
      <c r="B102" s="17" t="n">
        <v>100</v>
      </c>
      <c r="C102" s="17" t="s">
        <v>245</v>
      </c>
      <c r="D102" s="17" t="s">
        <v>211</v>
      </c>
      <c r="E102" s="17" t="n">
        <v>300</v>
      </c>
      <c r="F102" s="18" t="n">
        <v>1000</v>
      </c>
      <c r="G102" s="0" t="n">
        <f aca="false">IF(D102="Mono&amp;Dual",MIN(E102,F102)*2,MIN(E102,F102))</f>
        <v>600</v>
      </c>
    </row>
    <row r="103" customFormat="false" ht="15" hidden="false" customHeight="false" outlineLevel="0" collapsed="false">
      <c r="A103" s="19" t="n">
        <v>5</v>
      </c>
      <c r="B103" s="20" t="n">
        <v>100</v>
      </c>
      <c r="C103" s="20" t="s">
        <v>246</v>
      </c>
      <c r="D103" s="20" t="s">
        <v>211</v>
      </c>
      <c r="E103" s="20" t="n">
        <v>300</v>
      </c>
      <c r="F103" s="21" t="n">
        <v>1000</v>
      </c>
      <c r="G103" s="0" t="n">
        <f aca="false">IF(D103="Mono&amp;Dual",MIN(E103,F103)*2,MIN(E103,F103))</f>
        <v>600</v>
      </c>
    </row>
    <row r="104" customFormat="false" ht="15" hidden="false" customHeight="false" outlineLevel="0" collapsed="false">
      <c r="A104" s="16" t="n">
        <v>5</v>
      </c>
      <c r="B104" s="17" t="n">
        <v>100</v>
      </c>
      <c r="C104" s="17" t="s">
        <v>295</v>
      </c>
      <c r="D104" s="17" t="s">
        <v>211</v>
      </c>
      <c r="E104" s="17" t="n">
        <v>300</v>
      </c>
      <c r="F104" s="18" t="n">
        <v>1000</v>
      </c>
      <c r="G104" s="0" t="n">
        <f aca="false">IF(D104="Mono&amp;Dual",MIN(E104,F104)*2,MIN(E104,F104))</f>
        <v>600</v>
      </c>
    </row>
    <row r="105" customFormat="false" ht="15" hidden="false" customHeight="false" outlineLevel="0" collapsed="false">
      <c r="A105" s="19" t="n">
        <v>5</v>
      </c>
      <c r="B105" s="20" t="n">
        <v>100</v>
      </c>
      <c r="C105" s="20" t="s">
        <v>296</v>
      </c>
      <c r="D105" s="20" t="s">
        <v>211</v>
      </c>
      <c r="E105" s="20" t="n">
        <v>300</v>
      </c>
      <c r="F105" s="21" t="n">
        <v>1000</v>
      </c>
      <c r="G105" s="0" t="n">
        <f aca="false">IF(D105="Mono&amp;Dual",MIN(E105,F105)*2,MIN(E105,F105))</f>
        <v>600</v>
      </c>
    </row>
    <row r="106" customFormat="false" ht="15" hidden="false" customHeight="false" outlineLevel="0" collapsed="false">
      <c r="A106" s="16" t="n">
        <v>5</v>
      </c>
      <c r="B106" s="17" t="n">
        <v>100</v>
      </c>
      <c r="C106" s="17" t="s">
        <v>297</v>
      </c>
      <c r="D106" s="17" t="s">
        <v>211</v>
      </c>
      <c r="E106" s="17" t="n">
        <v>300</v>
      </c>
      <c r="F106" s="18" t="n">
        <v>1000</v>
      </c>
      <c r="G106" s="0" t="n">
        <f aca="false">IF(D106="Mono&amp;Dual",MIN(E106,F106)*2,MIN(E106,F106))</f>
        <v>600</v>
      </c>
    </row>
    <row r="107" customFormat="false" ht="15" hidden="false" customHeight="false" outlineLevel="0" collapsed="false">
      <c r="A107" s="19" t="n">
        <v>5</v>
      </c>
      <c r="B107" s="20" t="n">
        <v>100</v>
      </c>
      <c r="C107" s="20" t="s">
        <v>298</v>
      </c>
      <c r="D107" s="20" t="s">
        <v>211</v>
      </c>
      <c r="E107" s="20" t="n">
        <v>300</v>
      </c>
      <c r="F107" s="21" t="n">
        <v>1000</v>
      </c>
      <c r="G107" s="0" t="n">
        <f aca="false">IF(D107="Mono&amp;Dual",MIN(E107,F107)*2,MIN(E107,F107))</f>
        <v>600</v>
      </c>
    </row>
    <row r="108" customFormat="false" ht="15" hidden="false" customHeight="false" outlineLevel="0" collapsed="false">
      <c r="A108" s="16" t="n">
        <v>5</v>
      </c>
      <c r="B108" s="17" t="n">
        <v>100</v>
      </c>
      <c r="C108" s="17" t="s">
        <v>299</v>
      </c>
      <c r="D108" s="17" t="s">
        <v>211</v>
      </c>
      <c r="E108" s="17" t="n">
        <v>300</v>
      </c>
      <c r="F108" s="18" t="n">
        <v>1000</v>
      </c>
      <c r="G108" s="0" t="n">
        <f aca="false">IF(D108="Mono&amp;Dual",MIN(E108,F108)*2,MIN(E108,F108))</f>
        <v>600</v>
      </c>
    </row>
    <row r="109" customFormat="false" ht="15" hidden="false" customHeight="false" outlineLevel="0" collapsed="false">
      <c r="A109" s="19" t="n">
        <v>5</v>
      </c>
      <c r="B109" s="20" t="n">
        <v>100</v>
      </c>
      <c r="C109" s="20" t="s">
        <v>300</v>
      </c>
      <c r="D109" s="20" t="s">
        <v>211</v>
      </c>
      <c r="E109" s="20" t="n">
        <v>300</v>
      </c>
      <c r="F109" s="21" t="n">
        <v>1000</v>
      </c>
      <c r="G109" s="0" t="n">
        <f aca="false">IF(D109="Mono&amp;Dual",MIN(E109,F109)*2,MIN(E109,F109))</f>
        <v>600</v>
      </c>
    </row>
    <row r="110" customFormat="false" ht="15" hidden="false" customHeight="false" outlineLevel="0" collapsed="false">
      <c r="A110" s="16" t="n">
        <v>5</v>
      </c>
      <c r="B110" s="17" t="n">
        <v>100</v>
      </c>
      <c r="C110" s="17" t="s">
        <v>301</v>
      </c>
      <c r="D110" s="17" t="s">
        <v>211</v>
      </c>
      <c r="E110" s="17" t="n">
        <v>300</v>
      </c>
      <c r="F110" s="18" t="n">
        <v>1000</v>
      </c>
      <c r="G110" s="0" t="n">
        <f aca="false">IF(D110="Mono&amp;Dual",MIN(E110,F110)*2,MIN(E110,F110))</f>
        <v>600</v>
      </c>
    </row>
    <row r="111" customFormat="false" ht="15" hidden="false" customHeight="false" outlineLevel="0" collapsed="false">
      <c r="A111" s="19" t="n">
        <v>5</v>
      </c>
      <c r="B111" s="20" t="n">
        <v>100</v>
      </c>
      <c r="C111" s="20" t="s">
        <v>302</v>
      </c>
      <c r="D111" s="20" t="s">
        <v>211</v>
      </c>
      <c r="E111" s="20" t="n">
        <v>300</v>
      </c>
      <c r="F111" s="21" t="n">
        <v>1000</v>
      </c>
      <c r="G111" s="0" t="n">
        <f aca="false">IF(D111="Mono&amp;Dual",MIN(E111,F111)*2,MIN(E111,F111))</f>
        <v>600</v>
      </c>
    </row>
    <row r="112" customFormat="false" ht="15" hidden="false" customHeight="false" outlineLevel="0" collapsed="false">
      <c r="A112" s="16" t="n">
        <v>5</v>
      </c>
      <c r="B112" s="17" t="n">
        <v>100</v>
      </c>
      <c r="C112" s="17" t="s">
        <v>303</v>
      </c>
      <c r="D112" s="17" t="s">
        <v>32</v>
      </c>
      <c r="E112" s="17" t="n">
        <v>120</v>
      </c>
      <c r="F112" s="18"/>
      <c r="G112" s="0" t="n">
        <f aca="false">IF(D112="Mono&amp;Dual",MIN(E112,F112)*2,MIN(E112,F112))</f>
        <v>120</v>
      </c>
    </row>
    <row r="113" customFormat="false" ht="15" hidden="false" customHeight="false" outlineLevel="0" collapsed="false">
      <c r="A113" s="19" t="n">
        <v>5</v>
      </c>
      <c r="B113" s="20" t="n">
        <v>100</v>
      </c>
      <c r="C113" s="20" t="s">
        <v>304</v>
      </c>
      <c r="D113" s="20" t="s">
        <v>32</v>
      </c>
      <c r="E113" s="20" t="n">
        <v>120</v>
      </c>
      <c r="F113" s="21"/>
      <c r="G113" s="0" t="n">
        <f aca="false">IF(D113="Mono&amp;Dual",MIN(E113,F113)*2,MIN(E113,F113))</f>
        <v>120</v>
      </c>
    </row>
    <row r="114" customFormat="false" ht="15" hidden="false" customHeight="false" outlineLevel="0" collapsed="false">
      <c r="A114" s="16" t="n">
        <v>5</v>
      </c>
      <c r="B114" s="17" t="n">
        <v>100</v>
      </c>
      <c r="C114" s="17" t="s">
        <v>305</v>
      </c>
      <c r="D114" s="17" t="s">
        <v>32</v>
      </c>
      <c r="E114" s="17" t="n">
        <v>120</v>
      </c>
      <c r="F114" s="18"/>
      <c r="G114" s="0" t="n">
        <f aca="false">IF(D114="Mono&amp;Dual",MIN(E114,F114)*2,MIN(E114,F114))</f>
        <v>120</v>
      </c>
    </row>
    <row r="115" customFormat="false" ht="15" hidden="false" customHeight="false" outlineLevel="0" collapsed="false">
      <c r="A115" s="19" t="n">
        <v>5</v>
      </c>
      <c r="B115" s="20" t="n">
        <v>100</v>
      </c>
      <c r="C115" s="20" t="s">
        <v>306</v>
      </c>
      <c r="D115" s="20" t="s">
        <v>32</v>
      </c>
      <c r="E115" s="20" t="n">
        <v>120</v>
      </c>
      <c r="F115" s="21"/>
      <c r="G115" s="0" t="n">
        <f aca="false">IF(D115="Mono&amp;Dual",MIN(E115,F115)*2,MIN(E115,F115))</f>
        <v>120</v>
      </c>
    </row>
    <row r="116" customFormat="false" ht="15" hidden="false" customHeight="false" outlineLevel="0" collapsed="false">
      <c r="A116" s="16" t="n">
        <v>5</v>
      </c>
      <c r="B116" s="17" t="n">
        <v>100</v>
      </c>
      <c r="C116" s="17" t="s">
        <v>307</v>
      </c>
      <c r="D116" s="17" t="s">
        <v>32</v>
      </c>
      <c r="E116" s="17" t="n">
        <v>120</v>
      </c>
      <c r="F116" s="18"/>
      <c r="G116" s="0" t="n">
        <f aca="false">IF(D116="Mono&amp;Dual",MIN(E116,F116)*2,MIN(E116,F116))</f>
        <v>120</v>
      </c>
    </row>
    <row r="117" customFormat="false" ht="15" hidden="false" customHeight="false" outlineLevel="0" collapsed="false">
      <c r="A117" s="19" t="n">
        <v>5</v>
      </c>
      <c r="B117" s="20" t="n">
        <v>100</v>
      </c>
      <c r="C117" s="20" t="s">
        <v>308</v>
      </c>
      <c r="D117" s="20" t="s">
        <v>32</v>
      </c>
      <c r="E117" s="20" t="n">
        <v>120</v>
      </c>
      <c r="F117" s="21"/>
      <c r="G117" s="0" t="n">
        <f aca="false">IF(D117="Mono&amp;Dual",MIN(E117,F117)*2,MIN(E117,F117))</f>
        <v>120</v>
      </c>
    </row>
    <row r="118" customFormat="false" ht="15" hidden="false" customHeight="false" outlineLevel="0" collapsed="false">
      <c r="A118" s="16" t="n">
        <v>5</v>
      </c>
      <c r="B118" s="17" t="n">
        <v>100</v>
      </c>
      <c r="C118" s="17" t="s">
        <v>309</v>
      </c>
      <c r="D118" s="17" t="s">
        <v>32</v>
      </c>
      <c r="E118" s="17" t="n">
        <v>120</v>
      </c>
      <c r="F118" s="18"/>
      <c r="G118" s="0" t="n">
        <f aca="false">IF(D118="Mono&amp;Dual",MIN(E118,F118)*2,MIN(E118,F118))</f>
        <v>120</v>
      </c>
    </row>
    <row r="119" customFormat="false" ht="15" hidden="false" customHeight="false" outlineLevel="0" collapsed="false">
      <c r="A119" s="19" t="n">
        <v>5</v>
      </c>
      <c r="B119" s="20" t="n">
        <v>100</v>
      </c>
      <c r="C119" s="20" t="s">
        <v>310</v>
      </c>
      <c r="D119" s="20" t="s">
        <v>32</v>
      </c>
      <c r="E119" s="20" t="n">
        <v>120</v>
      </c>
      <c r="F119" s="21"/>
      <c r="G119" s="0" t="n">
        <f aca="false">IF(D119="Mono&amp;Dual",MIN(E119,F119)*2,MIN(E119,F119))</f>
        <v>120</v>
      </c>
    </row>
    <row r="120" customFormat="false" ht="15" hidden="false" customHeight="false" outlineLevel="0" collapsed="false">
      <c r="A120" s="16" t="n">
        <v>5</v>
      </c>
      <c r="B120" s="17" t="n">
        <v>100</v>
      </c>
      <c r="C120" s="17" t="s">
        <v>311</v>
      </c>
      <c r="D120" s="17" t="s">
        <v>32</v>
      </c>
      <c r="E120" s="17" t="n">
        <v>120</v>
      </c>
      <c r="F120" s="18"/>
      <c r="G120" s="0" t="n">
        <f aca="false">IF(D120="Mono&amp;Dual",MIN(E120,F120)*2,MIN(E120,F120))</f>
        <v>120</v>
      </c>
    </row>
    <row r="121" customFormat="false" ht="15" hidden="false" customHeight="false" outlineLevel="0" collapsed="false">
      <c r="A121" s="19" t="n">
        <v>5</v>
      </c>
      <c r="B121" s="20" t="n">
        <v>100</v>
      </c>
      <c r="C121" s="20" t="s">
        <v>312</v>
      </c>
      <c r="D121" s="20" t="s">
        <v>32</v>
      </c>
      <c r="E121" s="20" t="n">
        <v>120</v>
      </c>
      <c r="F121" s="21"/>
      <c r="G121" s="0" t="n">
        <f aca="false">IF(D121="Mono&amp;Dual",MIN(E121,F121)*2,MIN(E121,F121))</f>
        <v>120</v>
      </c>
    </row>
    <row r="122" customFormat="false" ht="15" hidden="false" customHeight="false" outlineLevel="0" collapsed="false">
      <c r="A122" s="16" t="n">
        <v>5</v>
      </c>
      <c r="B122" s="17" t="n">
        <v>100</v>
      </c>
      <c r="C122" s="17" t="s">
        <v>313</v>
      </c>
      <c r="D122" s="17" t="s">
        <v>32</v>
      </c>
      <c r="E122" s="17" t="n">
        <v>120</v>
      </c>
      <c r="F122" s="18"/>
      <c r="G122" s="0" t="n">
        <f aca="false">IF(D122="Mono&amp;Dual",MIN(E122,F122)*2,MIN(E122,F122))</f>
        <v>120</v>
      </c>
    </row>
    <row r="123" customFormat="false" ht="15" hidden="false" customHeight="false" outlineLevel="0" collapsed="false">
      <c r="A123" s="19" t="n">
        <v>5</v>
      </c>
      <c r="B123" s="20" t="n">
        <v>100</v>
      </c>
      <c r="C123" s="20" t="s">
        <v>314</v>
      </c>
      <c r="D123" s="20" t="s">
        <v>32</v>
      </c>
      <c r="E123" s="20" t="n">
        <v>120</v>
      </c>
      <c r="F123" s="21"/>
      <c r="G123" s="0" t="n">
        <f aca="false">IF(D123="Mono&amp;Dual",MIN(E123,F123)*2,MIN(E123,F123))</f>
        <v>120</v>
      </c>
    </row>
    <row r="124" customFormat="false" ht="15" hidden="false" customHeight="false" outlineLevel="0" collapsed="false">
      <c r="A124" s="16" t="n">
        <v>5</v>
      </c>
      <c r="B124" s="17" t="n">
        <v>100</v>
      </c>
      <c r="C124" s="17" t="s">
        <v>315</v>
      </c>
      <c r="D124" s="17" t="s">
        <v>32</v>
      </c>
      <c r="E124" s="17" t="n">
        <v>120</v>
      </c>
      <c r="F124" s="18"/>
      <c r="G124" s="0" t="n">
        <f aca="false">IF(D124="Mono&amp;Dual",MIN(E124,F124)*2,MIN(E124,F124))</f>
        <v>120</v>
      </c>
    </row>
    <row r="125" customFormat="false" ht="15" hidden="false" customHeight="false" outlineLevel="0" collapsed="false">
      <c r="A125" s="19" t="n">
        <v>5</v>
      </c>
      <c r="B125" s="20" t="n">
        <v>100</v>
      </c>
      <c r="C125" s="20" t="s">
        <v>316</v>
      </c>
      <c r="D125" s="20" t="s">
        <v>32</v>
      </c>
      <c r="E125" s="20" t="n">
        <v>120</v>
      </c>
      <c r="F125" s="21"/>
      <c r="G125" s="0" t="n">
        <f aca="false">IF(D125="Mono&amp;Dual",MIN(E125,F125)*2,MIN(E125,F125))</f>
        <v>120</v>
      </c>
    </row>
    <row r="126" customFormat="false" ht="15" hidden="false" customHeight="false" outlineLevel="0" collapsed="false">
      <c r="A126" s="16" t="n">
        <v>5</v>
      </c>
      <c r="B126" s="17" t="n">
        <v>100</v>
      </c>
      <c r="C126" s="17" t="s">
        <v>317</v>
      </c>
      <c r="D126" s="17" t="s">
        <v>32</v>
      </c>
      <c r="E126" s="17" t="n">
        <v>120</v>
      </c>
      <c r="F126" s="18"/>
      <c r="G126" s="0" t="n">
        <f aca="false">IF(D126="Mono&amp;Dual",MIN(E126,F126)*2,MIN(E126,F126))</f>
        <v>120</v>
      </c>
    </row>
    <row r="127" customFormat="false" ht="15" hidden="false" customHeight="false" outlineLevel="0" collapsed="false">
      <c r="A127" s="19" t="n">
        <v>5</v>
      </c>
      <c r="B127" s="20" t="n">
        <v>100</v>
      </c>
      <c r="C127" s="20" t="s">
        <v>318</v>
      </c>
      <c r="D127" s="20" t="s">
        <v>32</v>
      </c>
      <c r="E127" s="20" t="n">
        <v>120</v>
      </c>
      <c r="F127" s="21"/>
      <c r="G127" s="0" t="n">
        <f aca="false">IF(D127="Mono&amp;Dual",MIN(E127,F127)*2,MIN(E127,F127))</f>
        <v>120</v>
      </c>
    </row>
    <row r="128" customFormat="false" ht="15" hidden="false" customHeight="false" outlineLevel="0" collapsed="false">
      <c r="A128" s="16" t="n">
        <v>5</v>
      </c>
      <c r="B128" s="17" t="n">
        <v>100</v>
      </c>
      <c r="C128" s="17" t="s">
        <v>319</v>
      </c>
      <c r="D128" s="17" t="s">
        <v>32</v>
      </c>
      <c r="E128" s="17" t="n">
        <v>120</v>
      </c>
      <c r="F128" s="18"/>
      <c r="G128" s="0" t="n">
        <f aca="false">IF(D128="Mono&amp;Dual",MIN(E128,F128)*2,MIN(E128,F128))</f>
        <v>120</v>
      </c>
    </row>
    <row r="129" customFormat="false" ht="15" hidden="false" customHeight="false" outlineLevel="0" collapsed="false">
      <c r="A129" s="19" t="n">
        <v>5</v>
      </c>
      <c r="B129" s="20" t="n">
        <v>100</v>
      </c>
      <c r="C129" s="20" t="s">
        <v>320</v>
      </c>
      <c r="D129" s="20" t="s">
        <v>32</v>
      </c>
      <c r="E129" s="20" t="n">
        <v>120</v>
      </c>
      <c r="F129" s="21"/>
      <c r="G129" s="0" t="n">
        <f aca="false">IF(D129="Mono&amp;Dual",MIN(E129,F129)*2,MIN(E129,F129))</f>
        <v>120</v>
      </c>
    </row>
    <row r="130" customFormat="false" ht="15" hidden="false" customHeight="false" outlineLevel="0" collapsed="false">
      <c r="A130" s="16" t="n">
        <v>5</v>
      </c>
      <c r="B130" s="17" t="n">
        <v>100</v>
      </c>
      <c r="C130" s="17" t="s">
        <v>321</v>
      </c>
      <c r="D130" s="17" t="s">
        <v>32</v>
      </c>
      <c r="E130" s="17" t="n">
        <v>120</v>
      </c>
      <c r="F130" s="18"/>
      <c r="G130" s="0" t="n">
        <f aca="false">IF(D130="Mono&amp;Dual",MIN(E130,F130)*2,MIN(E130,F130))</f>
        <v>120</v>
      </c>
    </row>
    <row r="131" customFormat="false" ht="15" hidden="false" customHeight="false" outlineLevel="0" collapsed="false">
      <c r="A131" s="19" t="n">
        <v>5</v>
      </c>
      <c r="B131" s="20" t="n">
        <v>100</v>
      </c>
      <c r="C131" s="20" t="s">
        <v>322</v>
      </c>
      <c r="D131" s="20" t="s">
        <v>32</v>
      </c>
      <c r="E131" s="20" t="n">
        <v>120</v>
      </c>
      <c r="F131" s="21"/>
      <c r="G131" s="0" t="n">
        <f aca="false">IF(D131="Mono&amp;Dual",MIN(E131,F131)*2,MIN(E131,F131))</f>
        <v>120</v>
      </c>
    </row>
    <row r="132" customFormat="false" ht="15" hidden="false" customHeight="false" outlineLevel="0" collapsed="false">
      <c r="A132" s="16" t="n">
        <v>5</v>
      </c>
      <c r="B132" s="17" t="n">
        <v>100</v>
      </c>
      <c r="C132" s="17" t="s">
        <v>323</v>
      </c>
      <c r="D132" s="17" t="s">
        <v>32</v>
      </c>
      <c r="E132" s="17" t="n">
        <v>120</v>
      </c>
      <c r="F132" s="18"/>
      <c r="G132" s="0" t="n">
        <f aca="false">IF(D132="Mono&amp;Dual",MIN(E132,F132)*2,MIN(E132,F132))</f>
        <v>120</v>
      </c>
    </row>
    <row r="133" customFormat="false" ht="15" hidden="false" customHeight="false" outlineLevel="0" collapsed="false">
      <c r="A133" s="19" t="n">
        <v>5</v>
      </c>
      <c r="B133" s="20" t="n">
        <v>100</v>
      </c>
      <c r="C133" s="20" t="s">
        <v>324</v>
      </c>
      <c r="D133" s="20" t="s">
        <v>32</v>
      </c>
      <c r="E133" s="20" t="n">
        <v>120</v>
      </c>
      <c r="F133" s="21"/>
      <c r="G133" s="0" t="n">
        <f aca="false">IF(D133="Mono&amp;Dual",MIN(E133,F133)*2,MIN(E133,F133))</f>
        <v>120</v>
      </c>
    </row>
    <row r="134" customFormat="false" ht="15" hidden="false" customHeight="false" outlineLevel="0" collapsed="false">
      <c r="A134" s="16" t="n">
        <v>5</v>
      </c>
      <c r="B134" s="17" t="n">
        <v>100</v>
      </c>
      <c r="C134" s="17" t="s">
        <v>325</v>
      </c>
      <c r="D134" s="17" t="s">
        <v>32</v>
      </c>
      <c r="E134" s="17" t="n">
        <v>120</v>
      </c>
      <c r="F134" s="18"/>
      <c r="G134" s="0" t="n">
        <f aca="false">IF(D134="Mono&amp;Dual",MIN(E134,F134)*2,MIN(E134,F134))</f>
        <v>120</v>
      </c>
    </row>
    <row r="135" customFormat="false" ht="15" hidden="false" customHeight="false" outlineLevel="0" collapsed="false">
      <c r="A135" s="19" t="n">
        <v>5</v>
      </c>
      <c r="B135" s="20" t="n">
        <v>100</v>
      </c>
      <c r="C135" s="20" t="s">
        <v>326</v>
      </c>
      <c r="D135" s="20" t="s">
        <v>32</v>
      </c>
      <c r="E135" s="20" t="n">
        <v>120</v>
      </c>
      <c r="F135" s="21"/>
      <c r="G135" s="0" t="n">
        <f aca="false">IF(D135="Mono&amp;Dual",MIN(E135,F135)*2,MIN(E135,F135))</f>
        <v>120</v>
      </c>
    </row>
    <row r="136" customFormat="false" ht="15" hidden="false" customHeight="false" outlineLevel="0" collapsed="false">
      <c r="A136" s="16" t="n">
        <v>5</v>
      </c>
      <c r="B136" s="17" t="n">
        <v>100</v>
      </c>
      <c r="C136" s="17" t="s">
        <v>327</v>
      </c>
      <c r="D136" s="17" t="s">
        <v>32</v>
      </c>
      <c r="E136" s="17" t="n">
        <v>120</v>
      </c>
      <c r="F136" s="18"/>
      <c r="G136" s="0" t="n">
        <f aca="false">IF(D136="Mono&amp;Dual",MIN(E136,F136)*2,MIN(E136,F136))</f>
        <v>120</v>
      </c>
    </row>
    <row r="137" customFormat="false" ht="15" hidden="false" customHeight="false" outlineLevel="0" collapsed="false">
      <c r="A137" s="19" t="n">
        <v>5</v>
      </c>
      <c r="B137" s="20" t="n">
        <v>100</v>
      </c>
      <c r="C137" s="20" t="s">
        <v>217</v>
      </c>
      <c r="D137" s="20" t="s">
        <v>36</v>
      </c>
      <c r="E137" s="20"/>
      <c r="F137" s="21" t="n">
        <v>1000</v>
      </c>
      <c r="G137" s="0" t="n">
        <f aca="false">IF(D137="Mono&amp;Dual",MIN(E137,F137)*2,MIN(E137,F137))</f>
        <v>1000</v>
      </c>
    </row>
    <row r="138" customFormat="false" ht="15" hidden="false" customHeight="false" outlineLevel="0" collapsed="false">
      <c r="A138" s="16" t="n">
        <v>5</v>
      </c>
      <c r="B138" s="17" t="n">
        <v>100</v>
      </c>
      <c r="C138" s="17" t="s">
        <v>218</v>
      </c>
      <c r="D138" s="17" t="s">
        <v>36</v>
      </c>
      <c r="E138" s="17"/>
      <c r="F138" s="18" t="n">
        <v>1000</v>
      </c>
      <c r="G138" s="0" t="n">
        <f aca="false">IF(D138="Mono&amp;Dual",MIN(E138,F138)*2,MIN(E138,F138))</f>
        <v>1000</v>
      </c>
    </row>
    <row r="139" customFormat="false" ht="15" hidden="false" customHeight="false" outlineLevel="0" collapsed="false">
      <c r="A139" s="19" t="n">
        <v>5</v>
      </c>
      <c r="B139" s="20" t="n">
        <v>100</v>
      </c>
      <c r="C139" s="20" t="s">
        <v>219</v>
      </c>
      <c r="D139" s="20" t="s">
        <v>36</v>
      </c>
      <c r="E139" s="20"/>
      <c r="F139" s="21" t="n">
        <v>1000</v>
      </c>
      <c r="G139" s="0" t="n">
        <f aca="false">IF(D139="Mono&amp;Dual",MIN(E139,F139)*2,MIN(E139,F139))</f>
        <v>1000</v>
      </c>
    </row>
    <row r="140" customFormat="false" ht="15" hidden="false" customHeight="false" outlineLevel="0" collapsed="false">
      <c r="A140" s="16" t="n">
        <v>5</v>
      </c>
      <c r="B140" s="17" t="n">
        <v>100</v>
      </c>
      <c r="C140" s="17" t="s">
        <v>220</v>
      </c>
      <c r="D140" s="17" t="s">
        <v>36</v>
      </c>
      <c r="E140" s="17"/>
      <c r="F140" s="18" t="n">
        <v>1000</v>
      </c>
      <c r="G140" s="0" t="n">
        <f aca="false">IF(D140="Mono&amp;Dual",MIN(E140,F140)*2,MIN(E140,F140))</f>
        <v>1000</v>
      </c>
    </row>
    <row r="141" customFormat="false" ht="15" hidden="false" customHeight="false" outlineLevel="0" collapsed="false">
      <c r="A141" s="19" t="n">
        <v>5</v>
      </c>
      <c r="B141" s="20" t="n">
        <v>100</v>
      </c>
      <c r="C141" s="20" t="s">
        <v>221</v>
      </c>
      <c r="D141" s="20" t="s">
        <v>36</v>
      </c>
      <c r="E141" s="20"/>
      <c r="F141" s="21" t="n">
        <v>1000</v>
      </c>
      <c r="G141" s="0" t="n">
        <f aca="false">IF(D141="Mono&amp;Dual",MIN(E141,F141)*2,MIN(E141,F141))</f>
        <v>1000</v>
      </c>
    </row>
    <row r="142" customFormat="false" ht="15" hidden="false" customHeight="false" outlineLevel="0" collapsed="false">
      <c r="A142" s="16" t="n">
        <v>5</v>
      </c>
      <c r="B142" s="17" t="n">
        <v>100</v>
      </c>
      <c r="C142" s="17" t="s">
        <v>222</v>
      </c>
      <c r="D142" s="17" t="s">
        <v>36</v>
      </c>
      <c r="E142" s="17"/>
      <c r="F142" s="18" t="n">
        <v>1000</v>
      </c>
      <c r="G142" s="0" t="n">
        <f aca="false">IF(D142="Mono&amp;Dual",MIN(E142,F142)*2,MIN(E142,F142))</f>
        <v>1000</v>
      </c>
    </row>
    <row r="143" customFormat="false" ht="15" hidden="false" customHeight="false" outlineLevel="0" collapsed="false">
      <c r="A143" s="19" t="n">
        <v>5</v>
      </c>
      <c r="B143" s="20" t="n">
        <v>100</v>
      </c>
      <c r="C143" s="20" t="s">
        <v>225</v>
      </c>
      <c r="D143" s="20" t="s">
        <v>36</v>
      </c>
      <c r="E143" s="20"/>
      <c r="F143" s="21" t="n">
        <v>1000</v>
      </c>
      <c r="G143" s="0" t="n">
        <f aca="false">IF(D143="Mono&amp;Dual",MIN(E143,F143)*2,MIN(E143,F143))</f>
        <v>1000</v>
      </c>
    </row>
    <row r="144" customFormat="false" ht="15" hidden="false" customHeight="false" outlineLevel="0" collapsed="false">
      <c r="A144" s="16" t="n">
        <v>5</v>
      </c>
      <c r="B144" s="17" t="n">
        <v>100</v>
      </c>
      <c r="C144" s="17" t="s">
        <v>226</v>
      </c>
      <c r="D144" s="17" t="s">
        <v>36</v>
      </c>
      <c r="E144" s="17"/>
      <c r="F144" s="18" t="n">
        <v>1000</v>
      </c>
      <c r="G144" s="0" t="n">
        <f aca="false">IF(D144="Mono&amp;Dual",MIN(E144,F144)*2,MIN(E144,F144))</f>
        <v>1000</v>
      </c>
    </row>
    <row r="145" customFormat="false" ht="15" hidden="false" customHeight="false" outlineLevel="0" collapsed="false">
      <c r="A145" s="19" t="n">
        <v>5</v>
      </c>
      <c r="B145" s="20" t="n">
        <v>100</v>
      </c>
      <c r="C145" s="20" t="s">
        <v>227</v>
      </c>
      <c r="D145" s="20" t="s">
        <v>36</v>
      </c>
      <c r="E145" s="20"/>
      <c r="F145" s="21" t="n">
        <v>1000</v>
      </c>
      <c r="G145" s="0" t="n">
        <f aca="false">IF(D145="Mono&amp;Dual",MIN(E145,F145)*2,MIN(E145,F145))</f>
        <v>1000</v>
      </c>
    </row>
    <row r="146" customFormat="false" ht="15" hidden="false" customHeight="false" outlineLevel="0" collapsed="false">
      <c r="A146" s="16" t="n">
        <v>5</v>
      </c>
      <c r="B146" s="17" t="n">
        <v>100</v>
      </c>
      <c r="C146" s="17" t="s">
        <v>228</v>
      </c>
      <c r="D146" s="17" t="s">
        <v>36</v>
      </c>
      <c r="E146" s="17"/>
      <c r="F146" s="18" t="n">
        <v>1000</v>
      </c>
      <c r="G146" s="0" t="n">
        <f aca="false">IF(D146="Mono&amp;Dual",MIN(E146,F146)*2,MIN(E146,F146))</f>
        <v>1000</v>
      </c>
    </row>
    <row r="147" customFormat="false" ht="15" hidden="false" customHeight="false" outlineLevel="0" collapsed="false">
      <c r="A147" s="19" t="n">
        <v>5</v>
      </c>
      <c r="B147" s="20" t="n">
        <v>100</v>
      </c>
      <c r="C147" s="20" t="s">
        <v>229</v>
      </c>
      <c r="D147" s="20" t="s">
        <v>36</v>
      </c>
      <c r="E147" s="20"/>
      <c r="F147" s="21" t="n">
        <v>1000</v>
      </c>
      <c r="G147" s="0" t="n">
        <f aca="false">IF(D147="Mono&amp;Dual",MIN(E147,F147)*2,MIN(E147,F147))</f>
        <v>1000</v>
      </c>
    </row>
    <row r="148" customFormat="false" ht="15" hidden="false" customHeight="false" outlineLevel="0" collapsed="false">
      <c r="A148" s="16" t="n">
        <v>5</v>
      </c>
      <c r="B148" s="17" t="n">
        <v>100</v>
      </c>
      <c r="C148" s="17" t="s">
        <v>230</v>
      </c>
      <c r="D148" s="17" t="s">
        <v>36</v>
      </c>
      <c r="E148" s="17"/>
      <c r="F148" s="18" t="n">
        <v>1000</v>
      </c>
      <c r="G148" s="0" t="n">
        <f aca="false">IF(D148="Mono&amp;Dual",MIN(E148,F148)*2,MIN(E148,F148))</f>
        <v>1000</v>
      </c>
    </row>
    <row r="149" customFormat="false" ht="15" hidden="false" customHeight="false" outlineLevel="0" collapsed="false">
      <c r="A149" s="19" t="n">
        <v>5</v>
      </c>
      <c r="B149" s="20" t="n">
        <v>100</v>
      </c>
      <c r="C149" s="20" t="s">
        <v>247</v>
      </c>
      <c r="D149" s="20" t="s">
        <v>36</v>
      </c>
      <c r="E149" s="20"/>
      <c r="F149" s="21" t="n">
        <v>1000</v>
      </c>
      <c r="G149" s="0" t="n">
        <f aca="false">IF(D149="Mono&amp;Dual",MIN(E149,F149)*2,MIN(E149,F149))</f>
        <v>1000</v>
      </c>
    </row>
    <row r="150" customFormat="false" ht="15" hidden="false" customHeight="false" outlineLevel="0" collapsed="false">
      <c r="A150" s="16" t="n">
        <v>5</v>
      </c>
      <c r="B150" s="17" t="n">
        <v>100</v>
      </c>
      <c r="C150" s="17" t="s">
        <v>248</v>
      </c>
      <c r="D150" s="17" t="s">
        <v>36</v>
      </c>
      <c r="E150" s="17"/>
      <c r="F150" s="18" t="n">
        <v>1000</v>
      </c>
      <c r="G150" s="0" t="n">
        <f aca="false">IF(D150="Mono&amp;Dual",MIN(E150,F150)*2,MIN(E150,F150))</f>
        <v>1000</v>
      </c>
    </row>
    <row r="151" customFormat="false" ht="15" hidden="false" customHeight="false" outlineLevel="0" collapsed="false">
      <c r="A151" s="19" t="n">
        <v>5</v>
      </c>
      <c r="B151" s="20" t="n">
        <v>100</v>
      </c>
      <c r="C151" s="20" t="s">
        <v>249</v>
      </c>
      <c r="D151" s="20" t="s">
        <v>36</v>
      </c>
      <c r="E151" s="20"/>
      <c r="F151" s="21" t="n">
        <v>1000</v>
      </c>
      <c r="G151" s="0" t="n">
        <f aca="false">IF(D151="Mono&amp;Dual",MIN(E151,F151)*2,MIN(E151,F151))</f>
        <v>1000</v>
      </c>
    </row>
    <row r="152" customFormat="false" ht="15" hidden="false" customHeight="false" outlineLevel="0" collapsed="false">
      <c r="A152" s="16" t="n">
        <v>5</v>
      </c>
      <c r="B152" s="17" t="n">
        <v>100</v>
      </c>
      <c r="C152" s="17" t="s">
        <v>250</v>
      </c>
      <c r="D152" s="17" t="s">
        <v>36</v>
      </c>
      <c r="E152" s="17"/>
      <c r="F152" s="18" t="n">
        <v>1000</v>
      </c>
      <c r="G152" s="0" t="n">
        <f aca="false">IF(D152="Mono&amp;Dual",MIN(E152,F152)*2,MIN(E152,F152))</f>
        <v>1000</v>
      </c>
    </row>
    <row r="153" customFormat="false" ht="15" hidden="false" customHeight="false" outlineLevel="0" collapsed="false">
      <c r="A153" s="19" t="n">
        <v>5</v>
      </c>
      <c r="B153" s="20" t="n">
        <v>100</v>
      </c>
      <c r="C153" s="20" t="s">
        <v>251</v>
      </c>
      <c r="D153" s="20" t="s">
        <v>36</v>
      </c>
      <c r="E153" s="20"/>
      <c r="F153" s="21" t="n">
        <v>1000</v>
      </c>
      <c r="G153" s="0" t="n">
        <f aca="false">IF(D153="Mono&amp;Dual",MIN(E153,F153)*2,MIN(E153,F153))</f>
        <v>1000</v>
      </c>
    </row>
    <row r="154" customFormat="false" ht="15" hidden="false" customHeight="false" outlineLevel="0" collapsed="false">
      <c r="A154" s="16" t="n">
        <v>5</v>
      </c>
      <c r="B154" s="17" t="n">
        <v>100</v>
      </c>
      <c r="C154" s="17" t="s">
        <v>252</v>
      </c>
      <c r="D154" s="17" t="s">
        <v>36</v>
      </c>
      <c r="E154" s="17"/>
      <c r="F154" s="18" t="n">
        <v>1000</v>
      </c>
      <c r="G154" s="0" t="n">
        <f aca="false">IF(D154="Mono&amp;Dual",MIN(E154,F154)*2,MIN(E154,F154))</f>
        <v>1000</v>
      </c>
    </row>
    <row r="155" customFormat="false" ht="15" hidden="false" customHeight="false" outlineLevel="0" collapsed="false">
      <c r="A155" s="19" t="n">
        <v>5</v>
      </c>
      <c r="B155" s="20" t="n">
        <v>100</v>
      </c>
      <c r="C155" s="20" t="s">
        <v>253</v>
      </c>
      <c r="D155" s="20" t="s">
        <v>36</v>
      </c>
      <c r="E155" s="20"/>
      <c r="F155" s="21" t="n">
        <v>1000</v>
      </c>
      <c r="G155" s="0" t="n">
        <f aca="false">IF(D155="Mono&amp;Dual",MIN(E155,F155)*2,MIN(E155,F155))</f>
        <v>1000</v>
      </c>
    </row>
    <row r="156" customFormat="false" ht="15" hidden="false" customHeight="false" outlineLevel="0" collapsed="false">
      <c r="G156" s="0" t="n">
        <f aca="false">IF(D156="Mono&amp;Dual",MIN(E156,F156)*2,MIN(E156,F156))</f>
        <v>0</v>
      </c>
    </row>
    <row r="157" customFormat="false" ht="15" hidden="false" customHeight="false" outlineLevel="0" collapsed="false">
      <c r="G157" s="0" t="n">
        <f aca="false">IF(D157="Mono&amp;Dual",MIN(E157,F157)*2,MIN(E157,F157))</f>
        <v>0</v>
      </c>
    </row>
    <row r="158" customFormat="false" ht="15" hidden="false" customHeight="false" outlineLevel="0" collapsed="false">
      <c r="G158" s="0" t="n">
        <f aca="false">IF(D158="Mono&amp;Dual",MIN(E158,F158)*2,MIN(E158,F158))</f>
        <v>0</v>
      </c>
    </row>
    <row r="159" customFormat="false" ht="15" hidden="false" customHeight="false" outlineLevel="0" collapsed="false">
      <c r="G159" s="0" t="n">
        <f aca="false">IF(D159="Mono&amp;Dual",MIN(E159,F159)*2,MIN(E159,F159))</f>
        <v>0</v>
      </c>
    </row>
    <row r="160" customFormat="false" ht="15" hidden="false" customHeight="false" outlineLevel="0" collapsed="false">
      <c r="G160" s="0" t="n">
        <f aca="false">IF(D160="Mono&amp;Dual",MIN(E160,F160)*2,MIN(E160,F160))</f>
        <v>0</v>
      </c>
    </row>
    <row r="161" customFormat="false" ht="15" hidden="false" customHeight="false" outlineLevel="0" collapsed="false">
      <c r="G161" s="0" t="n">
        <f aca="false">IF(D161="Mono&amp;Dual",MIN(E161,F161)*2,MIN(E161,F161))</f>
        <v>0</v>
      </c>
    </row>
    <row r="162" customFormat="false" ht="15" hidden="false" customHeight="false" outlineLevel="0" collapsed="false">
      <c r="G162" s="0" t="n">
        <f aca="false">IF(D162="Mono&amp;Dual",MIN(E162,F162)*2,MIN(E162,F162))</f>
        <v>0</v>
      </c>
    </row>
    <row r="163" customFormat="false" ht="15" hidden="false" customHeight="false" outlineLevel="0" collapsed="false">
      <c r="G163" s="0" t="n">
        <f aca="false">IF(D163="Mono&amp;Dual",MIN(E163,F163)*2,MIN(E163,F163))</f>
        <v>0</v>
      </c>
    </row>
    <row r="164" customFormat="false" ht="15" hidden="false" customHeight="false" outlineLevel="0" collapsed="false">
      <c r="G164" s="0" t="n">
        <f aca="false">IF(D164="Mono&amp;Dual",MIN(E164,F164)*2,MIN(E164,F164))</f>
        <v>0</v>
      </c>
    </row>
    <row r="165" customFormat="false" ht="15" hidden="false" customHeight="false" outlineLevel="0" collapsed="false">
      <c r="G165" s="0" t="n">
        <f aca="false">IF(D165="Mono&amp;Dual",MIN(E165,F165)*2,MIN(E165,F165))</f>
        <v>0</v>
      </c>
    </row>
    <row r="166" customFormat="false" ht="15" hidden="false" customHeight="false" outlineLevel="0" collapsed="false">
      <c r="G166" s="0" t="n">
        <f aca="false">IF(D166="Mono&amp;Dual",MIN(E166,F166)*2,MIN(E166,F166))</f>
        <v>0</v>
      </c>
    </row>
    <row r="167" customFormat="false" ht="15" hidden="false" customHeight="false" outlineLevel="0" collapsed="false">
      <c r="G167" s="0" t="n">
        <f aca="false">IF(D167="Mono&amp;Dual",MIN(E167,F167)*2,MIN(E167,F167))</f>
        <v>0</v>
      </c>
    </row>
    <row r="168" customFormat="false" ht="15" hidden="false" customHeight="false" outlineLevel="0" collapsed="false">
      <c r="G168" s="0" t="n">
        <f aca="false">IF(D168="Mono&amp;Dual",MIN(E168,F168)*2,MIN(E168,F168))</f>
        <v>0</v>
      </c>
    </row>
    <row r="169" customFormat="false" ht="15" hidden="false" customHeight="false" outlineLevel="0" collapsed="false">
      <c r="G169" s="0" t="n">
        <f aca="false">IF(D169="Mono&amp;Dual",MIN(E169,F169)*2,MIN(E169,F169))</f>
        <v>0</v>
      </c>
    </row>
    <row r="170" customFormat="false" ht="15" hidden="false" customHeight="false" outlineLevel="0" collapsed="false">
      <c r="G170" s="0" t="n">
        <f aca="false">IF(D170="Mono&amp;Dual",MIN(E170,F170)*2,MIN(E170,F170))</f>
        <v>0</v>
      </c>
    </row>
    <row r="171" customFormat="false" ht="15" hidden="false" customHeight="false" outlineLevel="0" collapsed="false">
      <c r="G171" s="0" t="n">
        <f aca="false">IF(D171="Mono&amp;Dual",MIN(E171,F171)*2,MIN(E171,F171))</f>
        <v>0</v>
      </c>
    </row>
    <row r="172" customFormat="false" ht="15" hidden="false" customHeight="false" outlineLevel="0" collapsed="false">
      <c r="G172" s="0" t="n">
        <f aca="false">IF(D172="Mono&amp;Dual",MIN(E172,F172)*2,MIN(E172,F172))</f>
        <v>0</v>
      </c>
    </row>
    <row r="173" customFormat="false" ht="15" hidden="false" customHeight="false" outlineLevel="0" collapsed="false">
      <c r="G173" s="0" t="n">
        <f aca="false">IF(D173="Mono&amp;Dual",MIN(E173,F173)*2,MIN(E173,F173))</f>
        <v>0</v>
      </c>
    </row>
    <row r="174" customFormat="false" ht="15" hidden="false" customHeight="false" outlineLevel="0" collapsed="false">
      <c r="G174" s="0" t="n">
        <f aca="false">IF(D174="Mono&amp;Dual",MIN(E174,F174)*2,MIN(E174,F174))</f>
        <v>0</v>
      </c>
    </row>
    <row r="175" customFormat="false" ht="15" hidden="false" customHeight="false" outlineLevel="0" collapsed="false">
      <c r="G175" s="0" t="n">
        <f aca="false">IF(D175="Mono&amp;Dual",MIN(E175,F175)*2,MIN(E175,F175))</f>
        <v>0</v>
      </c>
    </row>
    <row r="176" customFormat="false" ht="15" hidden="false" customHeight="false" outlineLevel="0" collapsed="false">
      <c r="G176" s="0" t="n">
        <f aca="false">IF(D176="Mono&amp;Dual",MIN(E176,F176)*2,MIN(E176,F176))</f>
        <v>0</v>
      </c>
    </row>
    <row r="177" customFormat="false" ht="15" hidden="false" customHeight="false" outlineLevel="0" collapsed="false">
      <c r="G177" s="0" t="n">
        <f aca="false">IF(D177="Mono&amp;Dual",MIN(E177,F177)*2,MIN(E177,F177))</f>
        <v>0</v>
      </c>
    </row>
    <row r="178" customFormat="false" ht="15" hidden="false" customHeight="false" outlineLevel="0" collapsed="false">
      <c r="G178" s="0" t="n">
        <f aca="false">IF(D178="Mono&amp;Dual",MIN(E178,F178)*2,MIN(E178,F178))</f>
        <v>0</v>
      </c>
    </row>
    <row r="179" customFormat="false" ht="15" hidden="false" customHeight="false" outlineLevel="0" collapsed="false">
      <c r="G179" s="0" t="n">
        <f aca="false">IF(D179="Mono&amp;Dual",MIN(E179,F179)*2,MIN(E179,F179))</f>
        <v>0</v>
      </c>
    </row>
    <row r="180" customFormat="false" ht="15" hidden="false" customHeight="false" outlineLevel="0" collapsed="false">
      <c r="G180" s="0" t="n">
        <f aca="false">IF(D180="Mono&amp;Dual",MIN(E180,F180)*2,MIN(E180,F180))</f>
        <v>0</v>
      </c>
    </row>
    <row r="181" customFormat="false" ht="15" hidden="false" customHeight="false" outlineLevel="0" collapsed="false">
      <c r="G181" s="0" t="n">
        <f aca="false">IF(D181="Mono&amp;Dual",MIN(E181,F181)*2,MIN(E181,F181))</f>
        <v>0</v>
      </c>
    </row>
    <row r="182" customFormat="false" ht="15" hidden="false" customHeight="false" outlineLevel="0" collapsed="false">
      <c r="G182" s="0" t="n">
        <f aca="false">IF(D182="Mono&amp;Dual",MIN(E182,F182)*2,MIN(E182,F182))</f>
        <v>0</v>
      </c>
    </row>
    <row r="183" customFormat="false" ht="15" hidden="false" customHeight="false" outlineLevel="0" collapsed="false">
      <c r="G183" s="0" t="n">
        <f aca="false">IF(D183="Mono&amp;Dual",MIN(E183,F183)*2,MIN(E183,F183))</f>
        <v>0</v>
      </c>
    </row>
    <row r="184" customFormat="false" ht="15" hidden="false" customHeight="false" outlineLevel="0" collapsed="false">
      <c r="G184" s="0" t="n">
        <f aca="false">IF(D184="Mono&amp;Dual",MIN(E184,F184)*2,MIN(E184,F184))</f>
        <v>0</v>
      </c>
    </row>
    <row r="185" customFormat="false" ht="15" hidden="false" customHeight="false" outlineLevel="0" collapsed="false">
      <c r="G185" s="0" t="n">
        <f aca="false">IF(D185="Mono&amp;Dual",MIN(E185,F185)*2,MIN(E185,F185))</f>
        <v>0</v>
      </c>
    </row>
    <row r="186" customFormat="false" ht="15" hidden="false" customHeight="false" outlineLevel="0" collapsed="false">
      <c r="G186" s="0" t="n">
        <f aca="false">IF(D186="Mono&amp;Dual",MIN(E186,F186)*2,MIN(E186,F186))</f>
        <v>0</v>
      </c>
    </row>
    <row r="187" customFormat="false" ht="15" hidden="false" customHeight="false" outlineLevel="0" collapsed="false">
      <c r="G187" s="0" t="n">
        <f aca="false">IF(D187="Mono&amp;Dual",MIN(E187,F187)*2,MIN(E187,F187))</f>
        <v>0</v>
      </c>
    </row>
    <row r="188" customFormat="false" ht="15" hidden="false" customHeight="false" outlineLevel="0" collapsed="false">
      <c r="G188" s="0" t="n">
        <f aca="false">IF(D188="Mono&amp;Dual",MIN(E188,F188)*2,MIN(E188,F188))</f>
        <v>0</v>
      </c>
    </row>
    <row r="189" customFormat="false" ht="15" hidden="false" customHeight="false" outlineLevel="0" collapsed="false">
      <c r="G189" s="0" t="n">
        <f aca="false">IF(D189="Mono&amp;Dual",MIN(E189,F189)*2,MIN(E189,F189))</f>
        <v>0</v>
      </c>
    </row>
    <row r="190" customFormat="false" ht="15" hidden="false" customHeight="false" outlineLevel="0" collapsed="false">
      <c r="G190" s="0" t="n">
        <f aca="false">IF(D190="Mono&amp;Dual",MIN(E190,F190)*2,MIN(E190,F190))</f>
        <v>0</v>
      </c>
    </row>
    <row r="191" customFormat="false" ht="15" hidden="false" customHeight="false" outlineLevel="0" collapsed="false">
      <c r="G191" s="0" t="n">
        <f aca="false">IF(D191="Mono&amp;Dual",MIN(E191,F191)*2,MIN(E191,F191))</f>
        <v>0</v>
      </c>
    </row>
    <row r="192" customFormat="false" ht="15" hidden="false" customHeight="false" outlineLevel="0" collapsed="false">
      <c r="G192" s="0" t="n">
        <f aca="false">IF(D192="Mono&amp;Dual",MIN(E192,F192)*2,MIN(E192,F192))</f>
        <v>0</v>
      </c>
    </row>
    <row r="193" customFormat="false" ht="15" hidden="false" customHeight="false" outlineLevel="0" collapsed="false">
      <c r="G193" s="0" t="n">
        <f aca="false">IF(D193="Mono&amp;Dual",MIN(E193,F193)*2,MIN(E193,F193))</f>
        <v>0</v>
      </c>
    </row>
    <row r="194" customFormat="false" ht="15" hidden="false" customHeight="false" outlineLevel="0" collapsed="false">
      <c r="G194" s="0" t="n">
        <f aca="false">IF(D194="Mono&amp;Dual",MIN(E194,F194)*2,MIN(E194,F194))</f>
        <v>0</v>
      </c>
    </row>
    <row r="195" customFormat="false" ht="15" hidden="false" customHeight="false" outlineLevel="0" collapsed="false">
      <c r="G195" s="0" t="n">
        <f aca="false">IF(D195="Mono&amp;Dual",MIN(E195,F195)*2,MIN(E195,F195))</f>
        <v>0</v>
      </c>
    </row>
    <row r="196" customFormat="false" ht="15" hidden="false" customHeight="false" outlineLevel="0" collapsed="false">
      <c r="G196" s="0" t="n">
        <f aca="false">IF(D196="Mono&amp;Dual",MIN(E196,F196)*2,MIN(E196,F196))</f>
        <v>0</v>
      </c>
    </row>
    <row r="197" customFormat="false" ht="15" hidden="false" customHeight="false" outlineLevel="0" collapsed="false">
      <c r="G197" s="0" t="n">
        <f aca="false">IF(D197="Mono&amp;Dual",MIN(E197,F197)*2,MIN(E197,F197))</f>
        <v>0</v>
      </c>
    </row>
    <row r="198" customFormat="false" ht="15" hidden="false" customHeight="false" outlineLevel="0" collapsed="false">
      <c r="G198" s="0" t="n">
        <f aca="false">IF(D198="Mono&amp;Dual",MIN(E198,F198)*2,MIN(E198,F198))</f>
        <v>0</v>
      </c>
    </row>
    <row r="199" customFormat="false" ht="15" hidden="false" customHeight="false" outlineLevel="0" collapsed="false">
      <c r="G199" s="0" t="n">
        <f aca="false">IF(D199="Mono&amp;Dual",MIN(E199,F199)*2,MIN(E199,F199))</f>
        <v>0</v>
      </c>
    </row>
    <row r="200" customFormat="false" ht="15" hidden="false" customHeight="false" outlineLevel="0" collapsed="false">
      <c r="G200" s="0" t="n">
        <f aca="false">IF(D200="Mono&amp;Dual",MIN(E200,F200)*2,MIN(E200,F200))</f>
        <v>0</v>
      </c>
    </row>
    <row r="201" customFormat="false" ht="15" hidden="false" customHeight="false" outlineLevel="0" collapsed="false">
      <c r="G201" s="0" t="n">
        <f aca="false">IF(D201="Mono&amp;Dual",MIN(E201,F201)*2,MIN(E201,F201))</f>
        <v>0</v>
      </c>
    </row>
    <row r="202" customFormat="false" ht="15" hidden="false" customHeight="false" outlineLevel="0" collapsed="false">
      <c r="G202" s="0" t="n">
        <f aca="false">IF(D202="Mono&amp;Dual",MIN(E202,F202)*2,MIN(E202,F202))</f>
        <v>0</v>
      </c>
    </row>
    <row r="203" customFormat="false" ht="15" hidden="false" customHeight="false" outlineLevel="0" collapsed="false">
      <c r="G203" s="0" t="n">
        <f aca="false">IF(D203="Mono&amp;Dual",MIN(E203,F203)*2,MIN(E203,F203))</f>
        <v>0</v>
      </c>
    </row>
    <row r="204" customFormat="false" ht="15" hidden="false" customHeight="false" outlineLevel="0" collapsed="false">
      <c r="G204" s="0" t="n">
        <f aca="false">IF(D204="Mono&amp;Dual",MIN(E204,F204)*2,MIN(E204,F204))</f>
        <v>0</v>
      </c>
    </row>
    <row r="205" customFormat="false" ht="15" hidden="false" customHeight="false" outlineLevel="0" collapsed="false">
      <c r="G205" s="0" t="n">
        <f aca="false">IF(D205="Mono&amp;Dual",MIN(E205,F205)*2,MIN(E205,F205))</f>
        <v>0</v>
      </c>
    </row>
    <row r="206" customFormat="false" ht="15" hidden="false" customHeight="false" outlineLevel="0" collapsed="false">
      <c r="G206" s="0" t="n">
        <f aca="false">IF(D206="Mono&amp;Dual",MIN(E206,F206)*2,MIN(E206,F206))</f>
        <v>0</v>
      </c>
    </row>
    <row r="207" customFormat="false" ht="15" hidden="false" customHeight="false" outlineLevel="0" collapsed="false">
      <c r="G207" s="0" t="n">
        <f aca="false">IF(D207="Mono&amp;Dual",MIN(E207,F207)*2,MIN(E207,F207))</f>
        <v>0</v>
      </c>
    </row>
    <row r="208" customFormat="false" ht="15" hidden="false" customHeight="false" outlineLevel="0" collapsed="false">
      <c r="G208" s="0" t="n">
        <f aca="false">IF(D208="Mono&amp;Dual",MIN(E208,F208)*2,MIN(E208,F208))</f>
        <v>0</v>
      </c>
    </row>
    <row r="209" customFormat="false" ht="15" hidden="false" customHeight="false" outlineLevel="0" collapsed="false">
      <c r="G209" s="0" t="n">
        <f aca="false">IF(D209="Mono&amp;Dual",MIN(E209,F209)*2,MIN(E209,F209))</f>
        <v>0</v>
      </c>
    </row>
    <row r="210" customFormat="false" ht="15" hidden="false" customHeight="false" outlineLevel="0" collapsed="false">
      <c r="G210" s="0" t="n">
        <f aca="false">IF(D210="Mono&amp;Dual",MIN(E210,F210)*2,MIN(E210,F210))</f>
        <v>0</v>
      </c>
    </row>
    <row r="211" customFormat="false" ht="15" hidden="false" customHeight="false" outlineLevel="0" collapsed="false">
      <c r="G211" s="0" t="n">
        <f aca="false">IF(D211="Mono&amp;Dual",MIN(E211,F211)*2,MIN(E211,F211))</f>
        <v>0</v>
      </c>
    </row>
    <row r="212" customFormat="false" ht="15" hidden="false" customHeight="false" outlineLevel="0" collapsed="false">
      <c r="G212" s="0" t="n">
        <f aca="false">IF(D212="Mono&amp;Dual",MIN(E212,F212)*2,MIN(E212,F212))</f>
        <v>0</v>
      </c>
    </row>
    <row r="213" customFormat="false" ht="15" hidden="false" customHeight="false" outlineLevel="0" collapsed="false">
      <c r="G213" s="0" t="n">
        <f aca="false">IF(D213="Mono&amp;Dual",MIN(E213,F213)*2,MIN(E213,F213))</f>
        <v>0</v>
      </c>
    </row>
    <row r="214" customFormat="false" ht="15" hidden="false" customHeight="false" outlineLevel="0" collapsed="false">
      <c r="G214" s="0" t="n">
        <f aca="false">IF(D214="Mono&amp;Dual",MIN(E214,F214)*2,MIN(E214,F214))</f>
        <v>0</v>
      </c>
    </row>
    <row r="215" customFormat="false" ht="15" hidden="false" customHeight="false" outlineLevel="0" collapsed="false">
      <c r="G215" s="0" t="n">
        <f aca="false">IF(D215="Mono&amp;Dual",MIN(E215,F215)*2,MIN(E215,F215))</f>
        <v>0</v>
      </c>
    </row>
    <row r="216" customFormat="false" ht="15" hidden="false" customHeight="false" outlineLevel="0" collapsed="false">
      <c r="G216" s="0" t="n">
        <f aca="false">IF(D216="Mono&amp;Dual",MIN(E216,F216)*2,MIN(E216,F216))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J3" activeCellId="0" sqref="J3"/>
    </sheetView>
  </sheetViews>
  <sheetFormatPr defaultColWidth="8.6171875" defaultRowHeight="15" customHeight="false" zeroHeight="false" outlineLevelRow="0" outlineLevelCol="0"/>
  <cols>
    <col collapsed="false" customWidth="true" hidden="false" outlineLevel="0" max="7" min="7" style="0" width="16.29"/>
    <col collapsed="false" customWidth="true" hidden="false" outlineLevel="0" max="8" min="8" style="0" width="9"/>
    <col collapsed="false" customWidth="true" hidden="false" outlineLevel="0" max="10" min="10" style="0" width="10.71"/>
    <col collapsed="false" customWidth="true" hidden="false" outlineLevel="0" max="11" min="11" style="0" width="12.71"/>
    <col collapsed="false" customWidth="true" hidden="false" outlineLevel="0" max="12" min="12" style="0" width="15.29"/>
    <col collapsed="false" customWidth="true" hidden="false" outlineLevel="0" max="13" min="13" style="0" width="13.43"/>
  </cols>
  <sheetData>
    <row r="1" customFormat="false" ht="15" hidden="false" customHeight="false" outlineLevel="0" collapsed="false">
      <c r="A1" s="13" t="s">
        <v>1</v>
      </c>
      <c r="B1" s="14" t="s">
        <v>25</v>
      </c>
      <c r="C1" s="14" t="s">
        <v>26</v>
      </c>
      <c r="D1" s="14" t="s">
        <v>27</v>
      </c>
      <c r="E1" s="14" t="s">
        <v>28</v>
      </c>
      <c r="F1" s="15" t="s">
        <v>29</v>
      </c>
      <c r="G1" s="0" t="s">
        <v>30</v>
      </c>
    </row>
    <row r="2" customFormat="false" ht="15" hidden="false" customHeight="false" outlineLevel="0" collapsed="false">
      <c r="A2" s="16" t="n">
        <v>6</v>
      </c>
      <c r="B2" s="17" t="n">
        <v>5</v>
      </c>
      <c r="C2" s="17" t="s">
        <v>223</v>
      </c>
      <c r="D2" s="17" t="s">
        <v>32</v>
      </c>
      <c r="E2" s="17" t="n">
        <v>1000</v>
      </c>
      <c r="F2" s="18"/>
      <c r="G2" s="0" t="n">
        <f aca="false">IF(D2="Mono&amp;Dual",MIN(E2,F2)*2,MIN(E2,F2))</f>
        <v>1000</v>
      </c>
      <c r="J2" s="1" t="s">
        <v>0</v>
      </c>
      <c r="K2" s="1" t="s">
        <v>33</v>
      </c>
    </row>
    <row r="3" customFormat="false" ht="15" hidden="false" customHeight="false" outlineLevel="0" collapsed="false">
      <c r="A3" s="19" t="n">
        <v>6</v>
      </c>
      <c r="B3" s="20" t="n">
        <v>5</v>
      </c>
      <c r="C3" s="20" t="s">
        <v>215</v>
      </c>
      <c r="D3" s="20" t="s">
        <v>211</v>
      </c>
      <c r="E3" s="20" t="n">
        <v>4000</v>
      </c>
      <c r="F3" s="21" t="n">
        <v>4000</v>
      </c>
      <c r="G3" s="0" t="n">
        <f aca="false">IF(D3="Mono&amp;Dual",MIN(E3,F3)*2,MIN(E3,F3))</f>
        <v>8000</v>
      </c>
      <c r="J3" s="1" t="n">
        <v>5</v>
      </c>
      <c r="K3" s="1" t="n">
        <f aca="false">SUMIFS(G:G,B:B,J3)/2</f>
        <v>13500</v>
      </c>
      <c r="L3" s="5"/>
      <c r="M3" s="5"/>
    </row>
    <row r="4" customFormat="false" ht="15" hidden="false" customHeight="false" outlineLevel="0" collapsed="false">
      <c r="A4" s="16" t="n">
        <v>6</v>
      </c>
      <c r="B4" s="17" t="n">
        <v>5</v>
      </c>
      <c r="C4" s="17" t="s">
        <v>216</v>
      </c>
      <c r="D4" s="17" t="s">
        <v>32</v>
      </c>
      <c r="E4" s="17" t="n">
        <v>12000</v>
      </c>
      <c r="F4" s="18"/>
      <c r="G4" s="0" t="n">
        <f aca="false">IF(D4="Mono&amp;Dual",MIN(E4,F4)*2,MIN(E4,F4))</f>
        <v>12000</v>
      </c>
      <c r="J4" s="1" t="n">
        <v>10</v>
      </c>
      <c r="K4" s="1" t="n">
        <f aca="false">SUMIFS(G:G,B:B,J4)/2</f>
        <v>27000</v>
      </c>
      <c r="L4" s="5"/>
      <c r="M4" s="5"/>
    </row>
    <row r="5" customFormat="false" ht="15" hidden="false" customHeight="false" outlineLevel="0" collapsed="false">
      <c r="A5" s="19" t="n">
        <v>6</v>
      </c>
      <c r="B5" s="20" t="n">
        <v>5</v>
      </c>
      <c r="C5" s="20" t="s">
        <v>217</v>
      </c>
      <c r="D5" s="20" t="s">
        <v>36</v>
      </c>
      <c r="E5" s="20"/>
      <c r="F5" s="21" t="n">
        <v>6000</v>
      </c>
      <c r="G5" s="0" t="n">
        <f aca="false">IF(D5="Mono&amp;Dual",MIN(E5,F5)*2,MIN(E5,F5))</f>
        <v>6000</v>
      </c>
      <c r="J5" s="1" t="n">
        <v>20</v>
      </c>
      <c r="K5" s="1" t="n">
        <f aca="false">SUMIFS(G:G,B:B,J5)/2</f>
        <v>72000</v>
      </c>
      <c r="L5" s="5"/>
      <c r="M5" s="5"/>
    </row>
    <row r="6" customFormat="false" ht="15" hidden="false" customHeight="false" outlineLevel="0" collapsed="false">
      <c r="A6" s="16" t="n">
        <v>6</v>
      </c>
      <c r="B6" s="17" t="n">
        <v>10</v>
      </c>
      <c r="C6" s="17" t="s">
        <v>216</v>
      </c>
      <c r="D6" s="17" t="s">
        <v>211</v>
      </c>
      <c r="E6" s="17" t="n">
        <v>2000</v>
      </c>
      <c r="F6" s="18" t="n">
        <v>4000</v>
      </c>
      <c r="G6" s="0" t="n">
        <f aca="false">IF(D6="Mono&amp;Dual",MIN(E6,F6)*2,MIN(E6,F6))</f>
        <v>4000</v>
      </c>
      <c r="J6" s="1" t="n">
        <v>30</v>
      </c>
      <c r="K6" s="1" t="n">
        <f aca="false">SUMIFS(G:G,B:B,J6)/2</f>
        <v>259500</v>
      </c>
      <c r="L6" s="5"/>
      <c r="M6" s="5"/>
    </row>
    <row r="7" customFormat="false" ht="15" hidden="false" customHeight="false" outlineLevel="0" collapsed="false">
      <c r="A7" s="19" t="n">
        <v>6</v>
      </c>
      <c r="B7" s="20" t="n">
        <v>10</v>
      </c>
      <c r="C7" s="20" t="s">
        <v>223</v>
      </c>
      <c r="D7" s="20" t="s">
        <v>211</v>
      </c>
      <c r="E7" s="20" t="n">
        <v>4000</v>
      </c>
      <c r="F7" s="21" t="n">
        <v>12000</v>
      </c>
      <c r="G7" s="0" t="n">
        <f aca="false">IF(D7="Mono&amp;Dual",MIN(E7,F7)*2,MIN(E7,F7))</f>
        <v>8000</v>
      </c>
      <c r="J7" s="1" t="n">
        <v>50</v>
      </c>
      <c r="K7" s="1" t="n">
        <f aca="false">SUMIFS(G:G,B:B,J7)/2</f>
        <v>201000</v>
      </c>
      <c r="L7" s="5"/>
      <c r="M7" s="5"/>
    </row>
    <row r="8" customFormat="false" ht="15" hidden="false" customHeight="false" outlineLevel="0" collapsed="false">
      <c r="A8" s="16" t="n">
        <v>6</v>
      </c>
      <c r="B8" s="17" t="n">
        <v>10</v>
      </c>
      <c r="C8" s="17" t="s">
        <v>224</v>
      </c>
      <c r="D8" s="17" t="s">
        <v>32</v>
      </c>
      <c r="E8" s="17" t="n">
        <v>4000</v>
      </c>
      <c r="F8" s="18"/>
      <c r="G8" s="0" t="n">
        <f aca="false">IF(D8="Mono&amp;Dual",MIN(E8,F8)*2,MIN(E8,F8))</f>
        <v>4000</v>
      </c>
      <c r="J8" s="1" t="n">
        <v>100</v>
      </c>
      <c r="K8" s="1" t="n">
        <f aca="false">SUMIFS(G:G,B:B,J8)/2</f>
        <v>212000</v>
      </c>
      <c r="L8" s="5"/>
      <c r="M8" s="5"/>
    </row>
    <row r="9" customFormat="false" ht="15" hidden="false" customHeight="false" outlineLevel="0" collapsed="false">
      <c r="A9" s="19" t="n">
        <v>6</v>
      </c>
      <c r="B9" s="20" t="n">
        <v>10</v>
      </c>
      <c r="C9" s="20" t="s">
        <v>215</v>
      </c>
      <c r="D9" s="20" t="s">
        <v>211</v>
      </c>
      <c r="E9" s="20" t="n">
        <v>2000</v>
      </c>
      <c r="F9" s="21" t="n">
        <v>6000</v>
      </c>
      <c r="G9" s="0" t="n">
        <f aca="false">IF(D9="Mono&amp;Dual",MIN(E9,F9)*2,MIN(E9,F9))</f>
        <v>4000</v>
      </c>
      <c r="J9" s="5"/>
      <c r="K9" s="5"/>
      <c r="L9" s="5"/>
      <c r="M9" s="5"/>
    </row>
    <row r="10" customFormat="false" ht="15" hidden="false" customHeight="false" outlineLevel="0" collapsed="false">
      <c r="A10" s="16" t="n">
        <v>6</v>
      </c>
      <c r="B10" s="17" t="n">
        <v>10</v>
      </c>
      <c r="C10" s="17" t="s">
        <v>231</v>
      </c>
      <c r="D10" s="17" t="s">
        <v>32</v>
      </c>
      <c r="E10" s="17" t="n">
        <v>8000</v>
      </c>
      <c r="F10" s="18"/>
      <c r="G10" s="0" t="n">
        <f aca="false">IF(D10="Mono&amp;Dual",MIN(E10,F10)*2,MIN(E10,F10))</f>
        <v>8000</v>
      </c>
    </row>
    <row r="11" customFormat="false" ht="15" hidden="false" customHeight="false" outlineLevel="0" collapsed="false">
      <c r="A11" s="19" t="n">
        <v>6</v>
      </c>
      <c r="B11" s="20" t="n">
        <v>10</v>
      </c>
      <c r="C11" s="20" t="s">
        <v>232</v>
      </c>
      <c r="D11" s="20" t="s">
        <v>32</v>
      </c>
      <c r="E11" s="20" t="n">
        <v>18000</v>
      </c>
      <c r="F11" s="21"/>
      <c r="G11" s="0" t="n">
        <f aca="false">IF(D11="Mono&amp;Dual",MIN(E11,F11)*2,MIN(E11,F11))</f>
        <v>18000</v>
      </c>
    </row>
    <row r="12" customFormat="false" ht="15" hidden="false" customHeight="false" outlineLevel="0" collapsed="false">
      <c r="A12" s="16" t="n">
        <v>6</v>
      </c>
      <c r="B12" s="17" t="n">
        <v>10</v>
      </c>
      <c r="C12" s="17" t="s">
        <v>217</v>
      </c>
      <c r="D12" s="17" t="s">
        <v>36</v>
      </c>
      <c r="E12" s="17"/>
      <c r="F12" s="18" t="n">
        <v>8000</v>
      </c>
      <c r="G12" s="0" t="n">
        <f aca="false">IF(D12="Mono&amp;Dual",MIN(E12,F12)*2,MIN(E12,F12))</f>
        <v>8000</v>
      </c>
    </row>
    <row r="13" customFormat="false" ht="15" hidden="false" customHeight="false" outlineLevel="0" collapsed="false">
      <c r="A13" s="19" t="n">
        <v>6</v>
      </c>
      <c r="B13" s="20" t="n">
        <v>20</v>
      </c>
      <c r="C13" s="20" t="s">
        <v>216</v>
      </c>
      <c r="D13" s="20" t="s">
        <v>211</v>
      </c>
      <c r="E13" s="20" t="n">
        <v>2000</v>
      </c>
      <c r="F13" s="21" t="n">
        <v>4000</v>
      </c>
      <c r="G13" s="0" t="n">
        <f aca="false">IF(D13="Mono&amp;Dual",MIN(E13,F13)*2,MIN(E13,F13))</f>
        <v>4000</v>
      </c>
    </row>
    <row r="14" customFormat="false" ht="15" hidden="false" customHeight="false" outlineLevel="0" collapsed="false">
      <c r="A14" s="16" t="n">
        <v>6</v>
      </c>
      <c r="B14" s="17" t="n">
        <v>20</v>
      </c>
      <c r="C14" s="17" t="s">
        <v>224</v>
      </c>
      <c r="D14" s="17" t="s">
        <v>211</v>
      </c>
      <c r="E14" s="17" t="n">
        <v>4000</v>
      </c>
      <c r="F14" s="18" t="n">
        <v>8000</v>
      </c>
      <c r="G14" s="0" t="n">
        <f aca="false">IF(D14="Mono&amp;Dual",MIN(E14,F14)*2,MIN(E14,F14))</f>
        <v>8000</v>
      </c>
    </row>
    <row r="15" customFormat="false" ht="15" hidden="false" customHeight="false" outlineLevel="0" collapsed="false">
      <c r="A15" s="19" t="n">
        <v>6</v>
      </c>
      <c r="B15" s="20" t="n">
        <v>20</v>
      </c>
      <c r="C15" s="20" t="s">
        <v>232</v>
      </c>
      <c r="D15" s="20" t="s">
        <v>211</v>
      </c>
      <c r="E15" s="20" t="n">
        <v>4000</v>
      </c>
      <c r="F15" s="21" t="n">
        <v>16000</v>
      </c>
      <c r="G15" s="0" t="n">
        <f aca="false">IF(D15="Mono&amp;Dual",MIN(E15,F15)*2,MIN(E15,F15))</f>
        <v>8000</v>
      </c>
    </row>
    <row r="16" customFormat="false" ht="15" hidden="false" customHeight="false" outlineLevel="0" collapsed="false">
      <c r="A16" s="16" t="n">
        <v>6</v>
      </c>
      <c r="B16" s="17" t="n">
        <v>20</v>
      </c>
      <c r="C16" s="17" t="s">
        <v>236</v>
      </c>
      <c r="D16" s="17" t="s">
        <v>32</v>
      </c>
      <c r="E16" s="17" t="n">
        <v>2000</v>
      </c>
      <c r="F16" s="18"/>
      <c r="G16" s="0" t="n">
        <f aca="false">IF(D16="Mono&amp;Dual",MIN(E16,F16)*2,MIN(E16,F16))</f>
        <v>2000</v>
      </c>
    </row>
    <row r="17" customFormat="false" ht="15" hidden="false" customHeight="false" outlineLevel="0" collapsed="false">
      <c r="A17" s="19" t="n">
        <v>6</v>
      </c>
      <c r="B17" s="20" t="n">
        <v>20</v>
      </c>
      <c r="C17" s="20" t="s">
        <v>237</v>
      </c>
      <c r="D17" s="20" t="s">
        <v>32</v>
      </c>
      <c r="E17" s="20" t="n">
        <v>2000</v>
      </c>
      <c r="F17" s="21"/>
      <c r="G17" s="0" t="n">
        <f aca="false">IF(D17="Mono&amp;Dual",MIN(E17,F17)*2,MIN(E17,F17))</f>
        <v>2000</v>
      </c>
    </row>
    <row r="18" customFormat="false" ht="15" hidden="false" customHeight="false" outlineLevel="0" collapsed="false">
      <c r="A18" s="16" t="n">
        <v>6</v>
      </c>
      <c r="B18" s="17" t="n">
        <v>20</v>
      </c>
      <c r="C18" s="17" t="s">
        <v>238</v>
      </c>
      <c r="D18" s="17" t="s">
        <v>32</v>
      </c>
      <c r="E18" s="17" t="n">
        <v>2000</v>
      </c>
      <c r="F18" s="18"/>
      <c r="G18" s="0" t="n">
        <f aca="false">IF(D18="Mono&amp;Dual",MIN(E18,F18)*2,MIN(E18,F18))</f>
        <v>2000</v>
      </c>
    </row>
    <row r="19" customFormat="false" ht="15" hidden="false" customHeight="false" outlineLevel="0" collapsed="false">
      <c r="A19" s="19" t="n">
        <v>6</v>
      </c>
      <c r="B19" s="20" t="n">
        <v>20</v>
      </c>
      <c r="C19" s="20" t="s">
        <v>215</v>
      </c>
      <c r="D19" s="20" t="s">
        <v>211</v>
      </c>
      <c r="E19" s="20" t="n">
        <v>2000</v>
      </c>
      <c r="F19" s="21" t="n">
        <v>4000</v>
      </c>
      <c r="G19" s="0" t="n">
        <f aca="false">IF(D19="Mono&amp;Dual",MIN(E19,F19)*2,MIN(E19,F19))</f>
        <v>4000</v>
      </c>
    </row>
    <row r="20" customFormat="false" ht="15" hidden="false" customHeight="false" outlineLevel="0" collapsed="false">
      <c r="A20" s="16" t="n">
        <v>6</v>
      </c>
      <c r="B20" s="17" t="n">
        <v>20</v>
      </c>
      <c r="C20" s="17" t="s">
        <v>223</v>
      </c>
      <c r="D20" s="17" t="s">
        <v>211</v>
      </c>
      <c r="E20" s="17" t="n">
        <v>4000</v>
      </c>
      <c r="F20" s="18" t="n">
        <v>6000</v>
      </c>
      <c r="G20" s="0" t="n">
        <f aca="false">IF(D20="Mono&amp;Dual",MIN(E20,F20)*2,MIN(E20,F20))</f>
        <v>8000</v>
      </c>
    </row>
    <row r="21" customFormat="false" ht="15" hidden="false" customHeight="false" outlineLevel="0" collapsed="false">
      <c r="A21" s="19" t="n">
        <v>6</v>
      </c>
      <c r="B21" s="20" t="n">
        <v>20</v>
      </c>
      <c r="C21" s="20" t="s">
        <v>231</v>
      </c>
      <c r="D21" s="20" t="s">
        <v>211</v>
      </c>
      <c r="E21" s="20" t="n">
        <v>12000</v>
      </c>
      <c r="F21" s="21" t="n">
        <v>12000</v>
      </c>
      <c r="G21" s="0" t="n">
        <f aca="false">IF(D21="Mono&amp;Dual",MIN(E21,F21)*2,MIN(E21,F21))</f>
        <v>24000</v>
      </c>
    </row>
    <row r="22" customFormat="false" ht="15" hidden="false" customHeight="false" outlineLevel="0" collapsed="false">
      <c r="A22" s="16" t="n">
        <v>6</v>
      </c>
      <c r="B22" s="17" t="n">
        <v>20</v>
      </c>
      <c r="C22" s="17" t="s">
        <v>233</v>
      </c>
      <c r="D22" s="17" t="s">
        <v>32</v>
      </c>
      <c r="E22" s="17" t="n">
        <v>16000</v>
      </c>
      <c r="F22" s="18"/>
      <c r="G22" s="0" t="n">
        <f aca="false">IF(D22="Mono&amp;Dual",MIN(E22,F22)*2,MIN(E22,F22))</f>
        <v>16000</v>
      </c>
    </row>
    <row r="23" customFormat="false" ht="15" hidden="false" customHeight="false" outlineLevel="0" collapsed="false">
      <c r="A23" s="19" t="n">
        <v>6</v>
      </c>
      <c r="B23" s="20" t="n">
        <v>20</v>
      </c>
      <c r="C23" s="20" t="s">
        <v>234</v>
      </c>
      <c r="D23" s="20" t="s">
        <v>32</v>
      </c>
      <c r="E23" s="20" t="n">
        <v>20000</v>
      </c>
      <c r="F23" s="21"/>
      <c r="G23" s="0" t="n">
        <f aca="false">IF(D23="Mono&amp;Dual",MIN(E23,F23)*2,MIN(E23,F23))</f>
        <v>20000</v>
      </c>
    </row>
    <row r="24" customFormat="false" ht="15" hidden="false" customHeight="false" outlineLevel="0" collapsed="false">
      <c r="A24" s="16" t="n">
        <v>6</v>
      </c>
      <c r="B24" s="17" t="n">
        <v>20</v>
      </c>
      <c r="C24" s="17" t="s">
        <v>235</v>
      </c>
      <c r="D24" s="17" t="s">
        <v>32</v>
      </c>
      <c r="E24" s="17" t="n">
        <v>24000</v>
      </c>
      <c r="F24" s="18"/>
      <c r="G24" s="0" t="n">
        <f aca="false">IF(D24="Mono&amp;Dual",MIN(E24,F24)*2,MIN(E24,F24))</f>
        <v>24000</v>
      </c>
    </row>
    <row r="25" customFormat="false" ht="15" hidden="false" customHeight="false" outlineLevel="0" collapsed="false">
      <c r="A25" s="19" t="n">
        <v>6</v>
      </c>
      <c r="B25" s="20" t="n">
        <v>20</v>
      </c>
      <c r="C25" s="20" t="s">
        <v>217</v>
      </c>
      <c r="D25" s="20" t="s">
        <v>36</v>
      </c>
      <c r="E25" s="20"/>
      <c r="F25" s="21" t="n">
        <v>10000</v>
      </c>
      <c r="G25" s="0" t="n">
        <f aca="false">IF(D25="Mono&amp;Dual",MIN(E25,F25)*2,MIN(E25,F25))</f>
        <v>10000</v>
      </c>
    </row>
    <row r="26" customFormat="false" ht="15" hidden="false" customHeight="false" outlineLevel="0" collapsed="false">
      <c r="A26" s="16" t="n">
        <v>6</v>
      </c>
      <c r="B26" s="17" t="n">
        <v>20</v>
      </c>
      <c r="C26" s="17" t="s">
        <v>218</v>
      </c>
      <c r="D26" s="17" t="s">
        <v>36</v>
      </c>
      <c r="E26" s="17"/>
      <c r="F26" s="18" t="n">
        <v>12000</v>
      </c>
      <c r="G26" s="0" t="n">
        <f aca="false">IF(D26="Mono&amp;Dual",MIN(E26,F26)*2,MIN(E26,F26))</f>
        <v>12000</v>
      </c>
    </row>
    <row r="27" customFormat="false" ht="15" hidden="false" customHeight="false" outlineLevel="0" collapsed="false">
      <c r="A27" s="19" t="n">
        <v>6</v>
      </c>
      <c r="B27" s="20" t="n">
        <v>30</v>
      </c>
      <c r="C27" s="20" t="s">
        <v>216</v>
      </c>
      <c r="D27" s="20" t="s">
        <v>32</v>
      </c>
      <c r="E27" s="20" t="n">
        <v>2000</v>
      </c>
      <c r="F27" s="21"/>
      <c r="G27" s="0" t="n">
        <f aca="false">IF(D27="Mono&amp;Dual",MIN(E27,F27)*2,MIN(E27,F27))</f>
        <v>2000</v>
      </c>
    </row>
    <row r="28" customFormat="false" ht="15" hidden="false" customHeight="false" outlineLevel="0" collapsed="false">
      <c r="A28" s="16" t="n">
        <v>6</v>
      </c>
      <c r="B28" s="17" t="n">
        <v>30</v>
      </c>
      <c r="C28" s="17" t="s">
        <v>224</v>
      </c>
      <c r="D28" s="17" t="s">
        <v>32</v>
      </c>
      <c r="E28" s="17" t="n">
        <v>4000</v>
      </c>
      <c r="F28" s="18"/>
      <c r="G28" s="0" t="n">
        <f aca="false">IF(D28="Mono&amp;Dual",MIN(E28,F28)*2,MIN(E28,F28))</f>
        <v>4000</v>
      </c>
    </row>
    <row r="29" customFormat="false" ht="15" hidden="false" customHeight="false" outlineLevel="0" collapsed="false">
      <c r="A29" s="19" t="n">
        <v>6</v>
      </c>
      <c r="B29" s="20" t="n">
        <v>30</v>
      </c>
      <c r="C29" s="20" t="s">
        <v>232</v>
      </c>
      <c r="D29" s="20" t="s">
        <v>32</v>
      </c>
      <c r="E29" s="20" t="n">
        <v>6000</v>
      </c>
      <c r="F29" s="21"/>
      <c r="G29" s="0" t="n">
        <f aca="false">IF(D29="Mono&amp;Dual",MIN(E29,F29)*2,MIN(E29,F29))</f>
        <v>6000</v>
      </c>
    </row>
    <row r="30" customFormat="false" ht="15" hidden="false" customHeight="false" outlineLevel="0" collapsed="false">
      <c r="A30" s="16" t="n">
        <v>6</v>
      </c>
      <c r="B30" s="17" t="n">
        <v>30</v>
      </c>
      <c r="C30" s="17" t="s">
        <v>234</v>
      </c>
      <c r="D30" s="17" t="s">
        <v>32</v>
      </c>
      <c r="E30" s="17" t="n">
        <v>8000</v>
      </c>
      <c r="F30" s="18"/>
      <c r="G30" s="0" t="n">
        <f aca="false">IF(D30="Mono&amp;Dual",MIN(E30,F30)*2,MIN(E30,F30))</f>
        <v>8000</v>
      </c>
    </row>
    <row r="31" customFormat="false" ht="15" hidden="false" customHeight="false" outlineLevel="0" collapsed="false">
      <c r="A31" s="19" t="n">
        <v>6</v>
      </c>
      <c r="B31" s="20" t="n">
        <v>30</v>
      </c>
      <c r="C31" s="20" t="s">
        <v>236</v>
      </c>
      <c r="D31" s="20" t="s">
        <v>32</v>
      </c>
      <c r="E31" s="20" t="n">
        <v>10000</v>
      </c>
      <c r="F31" s="21"/>
      <c r="G31" s="0" t="n">
        <f aca="false">IF(D31="Mono&amp;Dual",MIN(E31,F31)*2,MIN(E31,F31))</f>
        <v>10000</v>
      </c>
    </row>
    <row r="32" customFormat="false" ht="15" hidden="false" customHeight="false" outlineLevel="0" collapsed="false">
      <c r="A32" s="16" t="n">
        <v>6</v>
      </c>
      <c r="B32" s="17" t="n">
        <v>30</v>
      </c>
      <c r="C32" s="17" t="s">
        <v>238</v>
      </c>
      <c r="D32" s="17" t="s">
        <v>32</v>
      </c>
      <c r="E32" s="17" t="n">
        <v>12000</v>
      </c>
      <c r="F32" s="18"/>
      <c r="G32" s="0" t="n">
        <f aca="false">IF(D32="Mono&amp;Dual",MIN(E32,F32)*2,MIN(E32,F32))</f>
        <v>12000</v>
      </c>
    </row>
    <row r="33" customFormat="false" ht="15" hidden="false" customHeight="false" outlineLevel="0" collapsed="false">
      <c r="A33" s="19" t="n">
        <v>6</v>
      </c>
      <c r="B33" s="20" t="n">
        <v>30</v>
      </c>
      <c r="C33" s="20" t="s">
        <v>240</v>
      </c>
      <c r="D33" s="20" t="s">
        <v>32</v>
      </c>
      <c r="E33" s="20" t="n">
        <v>14000</v>
      </c>
      <c r="F33" s="21"/>
      <c r="G33" s="0" t="n">
        <f aca="false">IF(D33="Mono&amp;Dual",MIN(E33,F33)*2,MIN(E33,F33))</f>
        <v>14000</v>
      </c>
    </row>
    <row r="34" customFormat="false" ht="15" hidden="false" customHeight="false" outlineLevel="0" collapsed="false">
      <c r="A34" s="16" t="n">
        <v>6</v>
      </c>
      <c r="B34" s="17" t="n">
        <v>30</v>
      </c>
      <c r="C34" s="17" t="s">
        <v>242</v>
      </c>
      <c r="D34" s="17" t="s">
        <v>32</v>
      </c>
      <c r="E34" s="17" t="n">
        <v>16000</v>
      </c>
      <c r="F34" s="18"/>
      <c r="G34" s="0" t="n">
        <f aca="false">IF(D34="Mono&amp;Dual",MIN(E34,F34)*2,MIN(E34,F34))</f>
        <v>16000</v>
      </c>
    </row>
    <row r="35" customFormat="false" ht="15" hidden="false" customHeight="false" outlineLevel="0" collapsed="false">
      <c r="A35" s="19" t="n">
        <v>6</v>
      </c>
      <c r="B35" s="20" t="n">
        <v>30</v>
      </c>
      <c r="C35" s="20" t="s">
        <v>244</v>
      </c>
      <c r="D35" s="20" t="s">
        <v>32</v>
      </c>
      <c r="E35" s="20" t="n">
        <v>18000</v>
      </c>
      <c r="F35" s="21"/>
      <c r="G35" s="0" t="n">
        <f aca="false">IF(D35="Mono&amp;Dual",MIN(E35,F35)*2,MIN(E35,F35))</f>
        <v>18000</v>
      </c>
    </row>
    <row r="36" customFormat="false" ht="15" hidden="false" customHeight="false" outlineLevel="0" collapsed="false">
      <c r="A36" s="16" t="n">
        <v>6</v>
      </c>
      <c r="B36" s="17" t="n">
        <v>30</v>
      </c>
      <c r="C36" s="17" t="s">
        <v>246</v>
      </c>
      <c r="D36" s="17" t="s">
        <v>32</v>
      </c>
      <c r="E36" s="17" t="n">
        <v>20000</v>
      </c>
      <c r="F36" s="18"/>
      <c r="G36" s="0" t="n">
        <f aca="false">IF(D36="Mono&amp;Dual",MIN(E36,F36)*2,MIN(E36,F36))</f>
        <v>20000</v>
      </c>
    </row>
    <row r="37" customFormat="false" ht="15" hidden="false" customHeight="false" outlineLevel="0" collapsed="false">
      <c r="A37" s="19" t="n">
        <v>6</v>
      </c>
      <c r="B37" s="20" t="n">
        <v>30</v>
      </c>
      <c r="C37" s="20" t="s">
        <v>296</v>
      </c>
      <c r="D37" s="20" t="s">
        <v>32</v>
      </c>
      <c r="E37" s="20" t="n">
        <v>22000</v>
      </c>
      <c r="F37" s="21"/>
      <c r="G37" s="0" t="n">
        <f aca="false">IF(D37="Mono&amp;Dual",MIN(E37,F37)*2,MIN(E37,F37))</f>
        <v>22000</v>
      </c>
    </row>
    <row r="38" customFormat="false" ht="15" hidden="false" customHeight="false" outlineLevel="0" collapsed="false">
      <c r="A38" s="16" t="n">
        <v>6</v>
      </c>
      <c r="B38" s="17" t="n">
        <v>30</v>
      </c>
      <c r="C38" s="17" t="s">
        <v>298</v>
      </c>
      <c r="D38" s="17" t="s">
        <v>32</v>
      </c>
      <c r="E38" s="17" t="n">
        <v>24000</v>
      </c>
      <c r="F38" s="18"/>
      <c r="G38" s="0" t="n">
        <f aca="false">IF(D38="Mono&amp;Dual",MIN(E38,F38)*2,MIN(E38,F38))</f>
        <v>24000</v>
      </c>
    </row>
    <row r="39" customFormat="false" ht="15" hidden="false" customHeight="false" outlineLevel="0" collapsed="false">
      <c r="A39" s="19" t="n">
        <v>6</v>
      </c>
      <c r="B39" s="20" t="n">
        <v>30</v>
      </c>
      <c r="C39" s="20" t="s">
        <v>300</v>
      </c>
      <c r="D39" s="20" t="s">
        <v>32</v>
      </c>
      <c r="E39" s="20" t="n">
        <v>26000</v>
      </c>
      <c r="F39" s="21"/>
      <c r="G39" s="0" t="n">
        <f aca="false">IF(D39="Mono&amp;Dual",MIN(E39,F39)*2,MIN(E39,F39))</f>
        <v>26000</v>
      </c>
    </row>
    <row r="40" customFormat="false" ht="15" hidden="false" customHeight="false" outlineLevel="0" collapsed="false">
      <c r="A40" s="16" t="n">
        <v>6</v>
      </c>
      <c r="B40" s="17" t="n">
        <v>30</v>
      </c>
      <c r="C40" s="17" t="s">
        <v>215</v>
      </c>
      <c r="D40" s="17" t="s">
        <v>32</v>
      </c>
      <c r="E40" s="17" t="n">
        <v>55000</v>
      </c>
      <c r="F40" s="18"/>
      <c r="G40" s="0" t="n">
        <f aca="false">IF(D40="Mono&amp;Dual",MIN(E40,F40)*2,MIN(E40,F40))</f>
        <v>55000</v>
      </c>
    </row>
    <row r="41" customFormat="false" ht="15" hidden="false" customHeight="false" outlineLevel="0" collapsed="false">
      <c r="A41" s="19" t="n">
        <v>6</v>
      </c>
      <c r="B41" s="20" t="n">
        <v>30</v>
      </c>
      <c r="C41" s="20" t="s">
        <v>223</v>
      </c>
      <c r="D41" s="20" t="s">
        <v>32</v>
      </c>
      <c r="E41" s="20" t="n">
        <v>3000</v>
      </c>
      <c r="F41" s="21"/>
      <c r="G41" s="0" t="n">
        <f aca="false">IF(D41="Mono&amp;Dual",MIN(E41,F41)*2,MIN(E41,F41))</f>
        <v>3000</v>
      </c>
    </row>
    <row r="42" customFormat="false" ht="15" hidden="false" customHeight="false" outlineLevel="0" collapsed="false">
      <c r="A42" s="16" t="n">
        <v>6</v>
      </c>
      <c r="B42" s="17" t="n">
        <v>30</v>
      </c>
      <c r="C42" s="17" t="s">
        <v>231</v>
      </c>
      <c r="D42" s="17" t="s">
        <v>32</v>
      </c>
      <c r="E42" s="17" t="n">
        <v>5000</v>
      </c>
      <c r="F42" s="18"/>
      <c r="G42" s="0" t="n">
        <f aca="false">IF(D42="Mono&amp;Dual",MIN(E42,F42)*2,MIN(E42,F42))</f>
        <v>5000</v>
      </c>
    </row>
    <row r="43" customFormat="false" ht="15" hidden="false" customHeight="false" outlineLevel="0" collapsed="false">
      <c r="A43" s="19" t="n">
        <v>6</v>
      </c>
      <c r="B43" s="20" t="n">
        <v>30</v>
      </c>
      <c r="C43" s="20" t="s">
        <v>233</v>
      </c>
      <c r="D43" s="20" t="s">
        <v>32</v>
      </c>
      <c r="E43" s="20" t="n">
        <v>7000</v>
      </c>
      <c r="F43" s="21"/>
      <c r="G43" s="0" t="n">
        <f aca="false">IF(D43="Mono&amp;Dual",MIN(E43,F43)*2,MIN(E43,F43))</f>
        <v>7000</v>
      </c>
    </row>
    <row r="44" customFormat="false" ht="15" hidden="false" customHeight="false" outlineLevel="0" collapsed="false">
      <c r="A44" s="16" t="n">
        <v>6</v>
      </c>
      <c r="B44" s="17" t="n">
        <v>30</v>
      </c>
      <c r="C44" s="17" t="s">
        <v>235</v>
      </c>
      <c r="D44" s="17" t="s">
        <v>32</v>
      </c>
      <c r="E44" s="17" t="n">
        <v>9000</v>
      </c>
      <c r="F44" s="18"/>
      <c r="G44" s="0" t="n">
        <f aca="false">IF(D44="Mono&amp;Dual",MIN(E44,F44)*2,MIN(E44,F44))</f>
        <v>9000</v>
      </c>
    </row>
    <row r="45" customFormat="false" ht="15" hidden="false" customHeight="false" outlineLevel="0" collapsed="false">
      <c r="A45" s="19" t="n">
        <v>6</v>
      </c>
      <c r="B45" s="20" t="n">
        <v>30</v>
      </c>
      <c r="C45" s="20" t="s">
        <v>237</v>
      </c>
      <c r="D45" s="20" t="s">
        <v>32</v>
      </c>
      <c r="E45" s="20" t="n">
        <v>11000</v>
      </c>
      <c r="F45" s="21"/>
      <c r="G45" s="0" t="n">
        <f aca="false">IF(D45="Mono&amp;Dual",MIN(E45,F45)*2,MIN(E45,F45))</f>
        <v>11000</v>
      </c>
    </row>
    <row r="46" customFormat="false" ht="15" hidden="false" customHeight="false" outlineLevel="0" collapsed="false">
      <c r="A46" s="16" t="n">
        <v>6</v>
      </c>
      <c r="B46" s="17" t="n">
        <v>30</v>
      </c>
      <c r="C46" s="17" t="s">
        <v>239</v>
      </c>
      <c r="D46" s="17" t="s">
        <v>32</v>
      </c>
      <c r="E46" s="17" t="n">
        <v>13000</v>
      </c>
      <c r="F46" s="18"/>
      <c r="G46" s="0" t="n">
        <f aca="false">IF(D46="Mono&amp;Dual",MIN(E46,F46)*2,MIN(E46,F46))</f>
        <v>13000</v>
      </c>
    </row>
    <row r="47" customFormat="false" ht="15" hidden="false" customHeight="false" outlineLevel="0" collapsed="false">
      <c r="A47" s="19" t="n">
        <v>6</v>
      </c>
      <c r="B47" s="20" t="n">
        <v>30</v>
      </c>
      <c r="C47" s="20" t="s">
        <v>241</v>
      </c>
      <c r="D47" s="20" t="s">
        <v>32</v>
      </c>
      <c r="E47" s="20" t="n">
        <v>15000</v>
      </c>
      <c r="F47" s="21"/>
      <c r="G47" s="0" t="n">
        <f aca="false">IF(D47="Mono&amp;Dual",MIN(E47,F47)*2,MIN(E47,F47))</f>
        <v>15000</v>
      </c>
    </row>
    <row r="48" customFormat="false" ht="15" hidden="false" customHeight="false" outlineLevel="0" collapsed="false">
      <c r="A48" s="16" t="n">
        <v>6</v>
      </c>
      <c r="B48" s="17" t="n">
        <v>30</v>
      </c>
      <c r="C48" s="17" t="s">
        <v>243</v>
      </c>
      <c r="D48" s="17" t="s">
        <v>32</v>
      </c>
      <c r="E48" s="17" t="n">
        <v>17000</v>
      </c>
      <c r="F48" s="18"/>
      <c r="G48" s="0" t="n">
        <f aca="false">IF(D48="Mono&amp;Dual",MIN(E48,F48)*2,MIN(E48,F48))</f>
        <v>17000</v>
      </c>
    </row>
    <row r="49" customFormat="false" ht="15" hidden="false" customHeight="false" outlineLevel="0" collapsed="false">
      <c r="A49" s="19" t="n">
        <v>6</v>
      </c>
      <c r="B49" s="20" t="n">
        <v>30</v>
      </c>
      <c r="C49" s="20" t="s">
        <v>245</v>
      </c>
      <c r="D49" s="20" t="s">
        <v>32</v>
      </c>
      <c r="E49" s="20" t="n">
        <v>19000</v>
      </c>
      <c r="F49" s="21"/>
      <c r="G49" s="0" t="n">
        <f aca="false">IF(D49="Mono&amp;Dual",MIN(E49,F49)*2,MIN(E49,F49))</f>
        <v>19000</v>
      </c>
    </row>
    <row r="50" customFormat="false" ht="15" hidden="false" customHeight="false" outlineLevel="0" collapsed="false">
      <c r="A50" s="16" t="n">
        <v>6</v>
      </c>
      <c r="B50" s="17" t="n">
        <v>30</v>
      </c>
      <c r="C50" s="17" t="s">
        <v>295</v>
      </c>
      <c r="D50" s="17" t="s">
        <v>32</v>
      </c>
      <c r="E50" s="17" t="n">
        <v>21000</v>
      </c>
      <c r="F50" s="18"/>
      <c r="G50" s="0" t="n">
        <f aca="false">IF(D50="Mono&amp;Dual",MIN(E50,F50)*2,MIN(E50,F50))</f>
        <v>21000</v>
      </c>
    </row>
    <row r="51" customFormat="false" ht="15" hidden="false" customHeight="false" outlineLevel="0" collapsed="false">
      <c r="A51" s="19" t="n">
        <v>6</v>
      </c>
      <c r="B51" s="20" t="n">
        <v>30</v>
      </c>
      <c r="C51" s="20" t="s">
        <v>297</v>
      </c>
      <c r="D51" s="20" t="s">
        <v>32</v>
      </c>
      <c r="E51" s="20" t="n">
        <v>23000</v>
      </c>
      <c r="F51" s="21"/>
      <c r="G51" s="0" t="n">
        <f aca="false">IF(D51="Mono&amp;Dual",MIN(E51,F51)*2,MIN(E51,F51))</f>
        <v>23000</v>
      </c>
    </row>
    <row r="52" customFormat="false" ht="15" hidden="false" customHeight="false" outlineLevel="0" collapsed="false">
      <c r="A52" s="16" t="n">
        <v>6</v>
      </c>
      <c r="B52" s="17" t="n">
        <v>30</v>
      </c>
      <c r="C52" s="17" t="s">
        <v>299</v>
      </c>
      <c r="D52" s="17" t="s">
        <v>32</v>
      </c>
      <c r="E52" s="17" t="n">
        <v>25000</v>
      </c>
      <c r="F52" s="18"/>
      <c r="G52" s="0" t="n">
        <f aca="false">IF(D52="Mono&amp;Dual",MIN(E52,F52)*2,MIN(E52,F52))</f>
        <v>25000</v>
      </c>
    </row>
    <row r="53" customFormat="false" ht="15" hidden="false" customHeight="false" outlineLevel="0" collapsed="false">
      <c r="A53" s="19" t="n">
        <v>6</v>
      </c>
      <c r="B53" s="20" t="n">
        <v>30</v>
      </c>
      <c r="C53" s="20" t="s">
        <v>301</v>
      </c>
      <c r="D53" s="20" t="s">
        <v>36</v>
      </c>
      <c r="E53" s="20"/>
      <c r="F53" s="21" t="n">
        <v>27000</v>
      </c>
      <c r="G53" s="0" t="n">
        <f aca="false">IF(D53="Mono&amp;Dual",MIN(E53,F53)*2,MIN(E53,F53))</f>
        <v>27000</v>
      </c>
    </row>
    <row r="54" customFormat="false" ht="15" hidden="false" customHeight="false" outlineLevel="0" collapsed="false">
      <c r="A54" s="16" t="n">
        <v>6</v>
      </c>
      <c r="B54" s="17" t="n">
        <v>30</v>
      </c>
      <c r="C54" s="17" t="s">
        <v>302</v>
      </c>
      <c r="D54" s="17" t="s">
        <v>36</v>
      </c>
      <c r="E54" s="17"/>
      <c r="F54" s="18" t="n">
        <v>28000</v>
      </c>
      <c r="G54" s="0" t="n">
        <f aca="false">IF(D54="Mono&amp;Dual",MIN(E54,F54)*2,MIN(E54,F54))</f>
        <v>28000</v>
      </c>
    </row>
    <row r="55" customFormat="false" ht="15" hidden="false" customHeight="false" outlineLevel="0" collapsed="false">
      <c r="A55" s="19" t="n">
        <v>6</v>
      </c>
      <c r="B55" s="20" t="n">
        <v>30</v>
      </c>
      <c r="C55" s="20" t="s">
        <v>303</v>
      </c>
      <c r="D55" s="20" t="s">
        <v>36</v>
      </c>
      <c r="E55" s="20"/>
      <c r="F55" s="21" t="n">
        <v>29000</v>
      </c>
      <c r="G55" s="0" t="n">
        <f aca="false">IF(D55="Mono&amp;Dual",MIN(E55,F55)*2,MIN(E55,F55))</f>
        <v>29000</v>
      </c>
    </row>
    <row r="56" customFormat="false" ht="15" hidden="false" customHeight="false" outlineLevel="0" collapsed="false">
      <c r="A56" s="16" t="n">
        <v>6</v>
      </c>
      <c r="B56" s="17" t="n">
        <v>30</v>
      </c>
      <c r="C56" s="17" t="s">
        <v>304</v>
      </c>
      <c r="D56" s="17" t="s">
        <v>36</v>
      </c>
      <c r="E56" s="17"/>
      <c r="F56" s="18" t="n">
        <v>30000</v>
      </c>
      <c r="G56" s="0" t="n">
        <f aca="false">IF(D56="Mono&amp;Dual",MIN(E56,F56)*2,MIN(E56,F56))</f>
        <v>30000</v>
      </c>
    </row>
    <row r="57" customFormat="false" ht="15" hidden="false" customHeight="false" outlineLevel="0" collapsed="false">
      <c r="A57" s="19" t="n">
        <v>6</v>
      </c>
      <c r="B57" s="20" t="n">
        <v>50</v>
      </c>
      <c r="C57" s="20" t="s">
        <v>216</v>
      </c>
      <c r="D57" s="20" t="s">
        <v>211</v>
      </c>
      <c r="E57" s="20" t="n">
        <v>2000</v>
      </c>
      <c r="F57" s="21" t="n">
        <v>4000</v>
      </c>
      <c r="G57" s="0" t="n">
        <f aca="false">IF(D57="Mono&amp;Dual",MIN(E57,F57)*2,MIN(E57,F57))</f>
        <v>4000</v>
      </c>
    </row>
    <row r="58" customFormat="false" ht="15" hidden="false" customHeight="false" outlineLevel="0" collapsed="false">
      <c r="A58" s="16" t="n">
        <v>6</v>
      </c>
      <c r="B58" s="17" t="n">
        <v>50</v>
      </c>
      <c r="C58" s="17" t="s">
        <v>224</v>
      </c>
      <c r="D58" s="17" t="s">
        <v>211</v>
      </c>
      <c r="E58" s="17" t="n">
        <v>3000</v>
      </c>
      <c r="F58" s="18" t="n">
        <v>6000</v>
      </c>
      <c r="G58" s="0" t="n">
        <f aca="false">IF(D58="Mono&amp;Dual",MIN(E58,F58)*2,MIN(E58,F58))</f>
        <v>6000</v>
      </c>
    </row>
    <row r="59" customFormat="false" ht="15" hidden="false" customHeight="false" outlineLevel="0" collapsed="false">
      <c r="A59" s="19" t="n">
        <v>6</v>
      </c>
      <c r="B59" s="20" t="n">
        <v>50</v>
      </c>
      <c r="C59" s="20" t="s">
        <v>232</v>
      </c>
      <c r="D59" s="20" t="s">
        <v>211</v>
      </c>
      <c r="E59" s="20" t="n">
        <v>4000</v>
      </c>
      <c r="F59" s="21" t="n">
        <v>8000</v>
      </c>
      <c r="G59" s="0" t="n">
        <f aca="false">IF(D59="Mono&amp;Dual",MIN(E59,F59)*2,MIN(E59,F59))</f>
        <v>8000</v>
      </c>
    </row>
    <row r="60" customFormat="false" ht="15" hidden="false" customHeight="false" outlineLevel="0" collapsed="false">
      <c r="A60" s="16" t="n">
        <v>6</v>
      </c>
      <c r="B60" s="17" t="n">
        <v>50</v>
      </c>
      <c r="C60" s="17" t="s">
        <v>234</v>
      </c>
      <c r="D60" s="17" t="s">
        <v>211</v>
      </c>
      <c r="E60" s="17" t="n">
        <v>4000</v>
      </c>
      <c r="F60" s="18" t="n">
        <v>10000</v>
      </c>
      <c r="G60" s="0" t="n">
        <f aca="false">IF(D60="Mono&amp;Dual",MIN(E60,F60)*2,MIN(E60,F60))</f>
        <v>8000</v>
      </c>
    </row>
    <row r="61" customFormat="false" ht="15" hidden="false" customHeight="false" outlineLevel="0" collapsed="false">
      <c r="A61" s="19" t="n">
        <v>6</v>
      </c>
      <c r="B61" s="20" t="n">
        <v>50</v>
      </c>
      <c r="C61" s="20" t="s">
        <v>236</v>
      </c>
      <c r="D61" s="20" t="s">
        <v>211</v>
      </c>
      <c r="E61" s="20" t="n">
        <v>4000</v>
      </c>
      <c r="F61" s="21" t="n">
        <v>12000</v>
      </c>
      <c r="G61" s="0" t="n">
        <f aca="false">IF(D61="Mono&amp;Dual",MIN(E61,F61)*2,MIN(E61,F61))</f>
        <v>8000</v>
      </c>
    </row>
    <row r="62" customFormat="false" ht="15" hidden="false" customHeight="false" outlineLevel="0" collapsed="false">
      <c r="A62" s="16" t="n">
        <v>6</v>
      </c>
      <c r="B62" s="17" t="n">
        <v>50</v>
      </c>
      <c r="C62" s="17" t="s">
        <v>238</v>
      </c>
      <c r="D62" s="17" t="s">
        <v>211</v>
      </c>
      <c r="E62" s="17" t="n">
        <v>4000</v>
      </c>
      <c r="F62" s="18" t="n">
        <v>14000</v>
      </c>
      <c r="G62" s="0" t="n">
        <f aca="false">IF(D62="Mono&amp;Dual",MIN(E62,F62)*2,MIN(E62,F62))</f>
        <v>8000</v>
      </c>
    </row>
    <row r="63" customFormat="false" ht="15" hidden="false" customHeight="false" outlineLevel="0" collapsed="false">
      <c r="A63" s="19" t="n">
        <v>6</v>
      </c>
      <c r="B63" s="20" t="n">
        <v>50</v>
      </c>
      <c r="C63" s="20" t="s">
        <v>240</v>
      </c>
      <c r="D63" s="20" t="s">
        <v>211</v>
      </c>
      <c r="E63" s="20" t="n">
        <v>4000</v>
      </c>
      <c r="F63" s="21" t="n">
        <v>16000</v>
      </c>
      <c r="G63" s="0" t="n">
        <f aca="false">IF(D63="Mono&amp;Dual",MIN(E63,F63)*2,MIN(E63,F63))</f>
        <v>8000</v>
      </c>
    </row>
    <row r="64" customFormat="false" ht="15" hidden="false" customHeight="false" outlineLevel="0" collapsed="false">
      <c r="A64" s="16" t="n">
        <v>6</v>
      </c>
      <c r="B64" s="17" t="n">
        <v>50</v>
      </c>
      <c r="C64" s="17" t="s">
        <v>298</v>
      </c>
      <c r="D64" s="17" t="s">
        <v>32</v>
      </c>
      <c r="E64" s="17" t="n">
        <v>1000</v>
      </c>
      <c r="F64" s="18"/>
      <c r="G64" s="0" t="n">
        <f aca="false">IF(D64="Mono&amp;Dual",MIN(E64,F64)*2,MIN(E64,F64))</f>
        <v>1000</v>
      </c>
    </row>
    <row r="65" customFormat="false" ht="15" hidden="false" customHeight="false" outlineLevel="0" collapsed="false">
      <c r="A65" s="19" t="n">
        <v>6</v>
      </c>
      <c r="B65" s="20" t="n">
        <v>50</v>
      </c>
      <c r="C65" s="20" t="s">
        <v>299</v>
      </c>
      <c r="D65" s="20" t="s">
        <v>32</v>
      </c>
      <c r="E65" s="20" t="n">
        <v>1000</v>
      </c>
      <c r="F65" s="21"/>
      <c r="G65" s="0" t="n">
        <f aca="false">IF(D65="Mono&amp;Dual",MIN(E65,F65)*2,MIN(E65,F65))</f>
        <v>1000</v>
      </c>
    </row>
    <row r="66" customFormat="false" ht="15" hidden="false" customHeight="false" outlineLevel="0" collapsed="false">
      <c r="A66" s="16" t="n">
        <v>6</v>
      </c>
      <c r="B66" s="17" t="n">
        <v>50</v>
      </c>
      <c r="C66" s="17" t="s">
        <v>300</v>
      </c>
      <c r="D66" s="17" t="s">
        <v>32</v>
      </c>
      <c r="E66" s="17" t="n">
        <v>1000</v>
      </c>
      <c r="F66" s="18"/>
      <c r="G66" s="0" t="n">
        <f aca="false">IF(D66="Mono&amp;Dual",MIN(E66,F66)*2,MIN(E66,F66))</f>
        <v>1000</v>
      </c>
    </row>
    <row r="67" customFormat="false" ht="15" hidden="false" customHeight="false" outlineLevel="0" collapsed="false">
      <c r="A67" s="19" t="n">
        <v>6</v>
      </c>
      <c r="B67" s="20" t="n">
        <v>50</v>
      </c>
      <c r="C67" s="20" t="s">
        <v>301</v>
      </c>
      <c r="D67" s="20" t="s">
        <v>32</v>
      </c>
      <c r="E67" s="20" t="n">
        <v>1000</v>
      </c>
      <c r="F67" s="21"/>
      <c r="G67" s="0" t="n">
        <f aca="false">IF(D67="Mono&amp;Dual",MIN(E67,F67)*2,MIN(E67,F67))</f>
        <v>1000</v>
      </c>
    </row>
    <row r="68" customFormat="false" ht="15" hidden="false" customHeight="false" outlineLevel="0" collapsed="false">
      <c r="A68" s="16" t="n">
        <v>6</v>
      </c>
      <c r="B68" s="17" t="n">
        <v>50</v>
      </c>
      <c r="C68" s="17" t="s">
        <v>302</v>
      </c>
      <c r="D68" s="17" t="s">
        <v>32</v>
      </c>
      <c r="E68" s="17" t="n">
        <v>1000</v>
      </c>
      <c r="F68" s="18"/>
      <c r="G68" s="0" t="n">
        <f aca="false">IF(D68="Mono&amp;Dual",MIN(E68,F68)*2,MIN(E68,F68))</f>
        <v>1000</v>
      </c>
    </row>
    <row r="69" customFormat="false" ht="15" hidden="false" customHeight="false" outlineLevel="0" collapsed="false">
      <c r="A69" s="19" t="n">
        <v>6</v>
      </c>
      <c r="B69" s="20" t="n">
        <v>50</v>
      </c>
      <c r="C69" s="20" t="s">
        <v>303</v>
      </c>
      <c r="D69" s="20" t="s">
        <v>32</v>
      </c>
      <c r="E69" s="20" t="n">
        <v>1000</v>
      </c>
      <c r="F69" s="21"/>
      <c r="G69" s="0" t="n">
        <f aca="false">IF(D69="Mono&amp;Dual",MIN(E69,F69)*2,MIN(E69,F69))</f>
        <v>1000</v>
      </c>
    </row>
    <row r="70" customFormat="false" ht="15" hidden="false" customHeight="false" outlineLevel="0" collapsed="false">
      <c r="A70" s="16" t="n">
        <v>6</v>
      </c>
      <c r="B70" s="17" t="n">
        <v>50</v>
      </c>
      <c r="C70" s="17" t="s">
        <v>304</v>
      </c>
      <c r="D70" s="17" t="s">
        <v>32</v>
      </c>
      <c r="E70" s="17" t="n">
        <v>1000</v>
      </c>
      <c r="F70" s="18"/>
      <c r="G70" s="0" t="n">
        <f aca="false">IF(D70="Mono&amp;Dual",MIN(E70,F70)*2,MIN(E70,F70))</f>
        <v>1000</v>
      </c>
    </row>
    <row r="71" customFormat="false" ht="15" hidden="false" customHeight="false" outlineLevel="0" collapsed="false">
      <c r="A71" s="19" t="n">
        <v>6</v>
      </c>
      <c r="B71" s="20" t="n">
        <v>50</v>
      </c>
      <c r="C71" s="20" t="s">
        <v>305</v>
      </c>
      <c r="D71" s="20" t="s">
        <v>32</v>
      </c>
      <c r="E71" s="20" t="n">
        <v>1000</v>
      </c>
      <c r="F71" s="21"/>
      <c r="G71" s="0" t="n">
        <f aca="false">IF(D71="Mono&amp;Dual",MIN(E71,F71)*2,MIN(E71,F71))</f>
        <v>1000</v>
      </c>
    </row>
    <row r="72" customFormat="false" ht="15" hidden="false" customHeight="false" outlineLevel="0" collapsed="false">
      <c r="A72" s="16" t="n">
        <v>6</v>
      </c>
      <c r="B72" s="17" t="n">
        <v>50</v>
      </c>
      <c r="C72" s="17" t="s">
        <v>306</v>
      </c>
      <c r="D72" s="17" t="s">
        <v>32</v>
      </c>
      <c r="E72" s="17" t="n">
        <v>1000</v>
      </c>
      <c r="F72" s="18"/>
      <c r="G72" s="0" t="n">
        <f aca="false">IF(D72="Mono&amp;Dual",MIN(E72,F72)*2,MIN(E72,F72))</f>
        <v>1000</v>
      </c>
    </row>
    <row r="73" customFormat="false" ht="15" hidden="false" customHeight="false" outlineLevel="0" collapsed="false">
      <c r="A73" s="19" t="n">
        <v>6</v>
      </c>
      <c r="B73" s="20" t="n">
        <v>50</v>
      </c>
      <c r="C73" s="20" t="s">
        <v>307</v>
      </c>
      <c r="D73" s="20" t="s">
        <v>32</v>
      </c>
      <c r="E73" s="20" t="n">
        <v>1000</v>
      </c>
      <c r="F73" s="21"/>
      <c r="G73" s="0" t="n">
        <f aca="false">IF(D73="Mono&amp;Dual",MIN(E73,F73)*2,MIN(E73,F73))</f>
        <v>1000</v>
      </c>
    </row>
    <row r="74" customFormat="false" ht="15" hidden="false" customHeight="false" outlineLevel="0" collapsed="false">
      <c r="A74" s="16" t="n">
        <v>6</v>
      </c>
      <c r="B74" s="17" t="n">
        <v>50</v>
      </c>
      <c r="C74" s="17" t="s">
        <v>215</v>
      </c>
      <c r="D74" s="17" t="s">
        <v>211</v>
      </c>
      <c r="E74" s="17" t="n">
        <v>2000</v>
      </c>
      <c r="F74" s="18" t="n">
        <v>4000</v>
      </c>
      <c r="G74" s="0" t="n">
        <f aca="false">IF(D74="Mono&amp;Dual",MIN(E74,F74)*2,MIN(E74,F74))</f>
        <v>4000</v>
      </c>
    </row>
    <row r="75" customFormat="false" ht="15" hidden="false" customHeight="false" outlineLevel="0" collapsed="false">
      <c r="A75" s="19" t="n">
        <v>6</v>
      </c>
      <c r="B75" s="20" t="n">
        <v>50</v>
      </c>
      <c r="C75" s="20" t="s">
        <v>223</v>
      </c>
      <c r="D75" s="20" t="s">
        <v>211</v>
      </c>
      <c r="E75" s="20" t="n">
        <v>4000</v>
      </c>
      <c r="F75" s="21" t="n">
        <v>6000</v>
      </c>
      <c r="G75" s="0" t="n">
        <f aca="false">IF(D75="Mono&amp;Dual",MIN(E75,F75)*2,MIN(E75,F75))</f>
        <v>8000</v>
      </c>
    </row>
    <row r="76" customFormat="false" ht="15" hidden="false" customHeight="false" outlineLevel="0" collapsed="false">
      <c r="A76" s="16" t="n">
        <v>6</v>
      </c>
      <c r="B76" s="17" t="n">
        <v>50</v>
      </c>
      <c r="C76" s="17" t="s">
        <v>231</v>
      </c>
      <c r="D76" s="17" t="s">
        <v>211</v>
      </c>
      <c r="E76" s="17" t="n">
        <v>6000</v>
      </c>
      <c r="F76" s="18" t="n">
        <v>8000</v>
      </c>
      <c r="G76" s="0" t="n">
        <f aca="false">IF(D76="Mono&amp;Dual",MIN(E76,F76)*2,MIN(E76,F76))</f>
        <v>12000</v>
      </c>
    </row>
    <row r="77" customFormat="false" ht="15" hidden="false" customHeight="false" outlineLevel="0" collapsed="false">
      <c r="A77" s="19" t="n">
        <v>6</v>
      </c>
      <c r="B77" s="20" t="n">
        <v>50</v>
      </c>
      <c r="C77" s="20" t="s">
        <v>233</v>
      </c>
      <c r="D77" s="20" t="s">
        <v>211</v>
      </c>
      <c r="E77" s="20" t="n">
        <v>8000</v>
      </c>
      <c r="F77" s="21" t="n">
        <v>10000</v>
      </c>
      <c r="G77" s="0" t="n">
        <f aca="false">IF(D77="Mono&amp;Dual",MIN(E77,F77)*2,MIN(E77,F77))</f>
        <v>16000</v>
      </c>
    </row>
    <row r="78" customFormat="false" ht="15" hidden="false" customHeight="false" outlineLevel="0" collapsed="false">
      <c r="A78" s="16" t="n">
        <v>6</v>
      </c>
      <c r="B78" s="17" t="n">
        <v>50</v>
      </c>
      <c r="C78" s="17" t="s">
        <v>235</v>
      </c>
      <c r="D78" s="17" t="s">
        <v>211</v>
      </c>
      <c r="E78" s="17" t="n">
        <v>10000</v>
      </c>
      <c r="F78" s="18" t="n">
        <v>12000</v>
      </c>
      <c r="G78" s="0" t="n">
        <f aca="false">IF(D78="Mono&amp;Dual",MIN(E78,F78)*2,MIN(E78,F78))</f>
        <v>20000</v>
      </c>
    </row>
    <row r="79" customFormat="false" ht="15" hidden="false" customHeight="false" outlineLevel="0" collapsed="false">
      <c r="A79" s="19" t="n">
        <v>6</v>
      </c>
      <c r="B79" s="20" t="n">
        <v>50</v>
      </c>
      <c r="C79" s="20" t="s">
        <v>237</v>
      </c>
      <c r="D79" s="20" t="s">
        <v>211</v>
      </c>
      <c r="E79" s="20" t="n">
        <v>12000</v>
      </c>
      <c r="F79" s="21" t="n">
        <v>14000</v>
      </c>
      <c r="G79" s="0" t="n">
        <f aca="false">IF(D79="Mono&amp;Dual",MIN(E79,F79)*2,MIN(E79,F79))</f>
        <v>24000</v>
      </c>
    </row>
    <row r="80" customFormat="false" ht="15" hidden="false" customHeight="false" outlineLevel="0" collapsed="false">
      <c r="A80" s="16" t="n">
        <v>6</v>
      </c>
      <c r="B80" s="17" t="n">
        <v>50</v>
      </c>
      <c r="C80" s="17" t="s">
        <v>239</v>
      </c>
      <c r="D80" s="17" t="s">
        <v>211</v>
      </c>
      <c r="E80" s="17" t="n">
        <v>14000</v>
      </c>
      <c r="F80" s="18" t="n">
        <v>16000</v>
      </c>
      <c r="G80" s="0" t="n">
        <f aca="false">IF(D80="Mono&amp;Dual",MIN(E80,F80)*2,MIN(E80,F80))</f>
        <v>28000</v>
      </c>
    </row>
    <row r="81" customFormat="false" ht="15" hidden="false" customHeight="false" outlineLevel="0" collapsed="false">
      <c r="A81" s="19" t="n">
        <v>6</v>
      </c>
      <c r="B81" s="20" t="n">
        <v>50</v>
      </c>
      <c r="C81" s="20" t="s">
        <v>241</v>
      </c>
      <c r="D81" s="20" t="s">
        <v>211</v>
      </c>
      <c r="E81" s="20" t="n">
        <v>16000</v>
      </c>
      <c r="F81" s="21" t="n">
        <v>18000</v>
      </c>
      <c r="G81" s="0" t="n">
        <f aca="false">IF(D81="Mono&amp;Dual",MIN(E81,F81)*2,MIN(E81,F81))</f>
        <v>32000</v>
      </c>
    </row>
    <row r="82" customFormat="false" ht="15" hidden="false" customHeight="false" outlineLevel="0" collapsed="false">
      <c r="A82" s="16" t="n">
        <v>6</v>
      </c>
      <c r="B82" s="17" t="n">
        <v>50</v>
      </c>
      <c r="C82" s="17" t="s">
        <v>242</v>
      </c>
      <c r="D82" s="17" t="s">
        <v>32</v>
      </c>
      <c r="E82" s="17" t="n">
        <v>17000</v>
      </c>
      <c r="F82" s="18"/>
      <c r="G82" s="0" t="n">
        <f aca="false">IF(D82="Mono&amp;Dual",MIN(E82,F82)*2,MIN(E82,F82))</f>
        <v>17000</v>
      </c>
    </row>
    <row r="83" customFormat="false" ht="15" hidden="false" customHeight="false" outlineLevel="0" collapsed="false">
      <c r="A83" s="19" t="n">
        <v>6</v>
      </c>
      <c r="B83" s="20" t="n">
        <v>50</v>
      </c>
      <c r="C83" s="20" t="s">
        <v>243</v>
      </c>
      <c r="D83" s="20" t="s">
        <v>32</v>
      </c>
      <c r="E83" s="20" t="n">
        <v>18000</v>
      </c>
      <c r="F83" s="21"/>
      <c r="G83" s="0" t="n">
        <f aca="false">IF(D83="Mono&amp;Dual",MIN(E83,F83)*2,MIN(E83,F83))</f>
        <v>18000</v>
      </c>
    </row>
    <row r="84" customFormat="false" ht="15" hidden="false" customHeight="false" outlineLevel="0" collapsed="false">
      <c r="A84" s="16" t="n">
        <v>6</v>
      </c>
      <c r="B84" s="17" t="n">
        <v>50</v>
      </c>
      <c r="C84" s="17" t="s">
        <v>244</v>
      </c>
      <c r="D84" s="17" t="s">
        <v>32</v>
      </c>
      <c r="E84" s="17" t="n">
        <v>19000</v>
      </c>
      <c r="F84" s="18"/>
      <c r="G84" s="0" t="n">
        <f aca="false">IF(D84="Mono&amp;Dual",MIN(E84,F84)*2,MIN(E84,F84))</f>
        <v>19000</v>
      </c>
    </row>
    <row r="85" customFormat="false" ht="15" hidden="false" customHeight="false" outlineLevel="0" collapsed="false">
      <c r="A85" s="19" t="n">
        <v>6</v>
      </c>
      <c r="B85" s="20" t="n">
        <v>50</v>
      </c>
      <c r="C85" s="20" t="s">
        <v>245</v>
      </c>
      <c r="D85" s="20" t="s">
        <v>32</v>
      </c>
      <c r="E85" s="20" t="n">
        <v>20000</v>
      </c>
      <c r="F85" s="21"/>
      <c r="G85" s="0" t="n">
        <f aca="false">IF(D85="Mono&amp;Dual",MIN(E85,F85)*2,MIN(E85,F85))</f>
        <v>20000</v>
      </c>
    </row>
    <row r="86" customFormat="false" ht="15" hidden="false" customHeight="false" outlineLevel="0" collapsed="false">
      <c r="A86" s="16" t="n">
        <v>6</v>
      </c>
      <c r="B86" s="17" t="n">
        <v>50</v>
      </c>
      <c r="C86" s="17" t="s">
        <v>246</v>
      </c>
      <c r="D86" s="17" t="s">
        <v>32</v>
      </c>
      <c r="E86" s="17" t="n">
        <v>22000</v>
      </c>
      <c r="F86" s="18"/>
      <c r="G86" s="0" t="n">
        <f aca="false">IF(D86="Mono&amp;Dual",MIN(E86,F86)*2,MIN(E86,F86))</f>
        <v>22000</v>
      </c>
    </row>
    <row r="87" customFormat="false" ht="15" hidden="false" customHeight="false" outlineLevel="0" collapsed="false">
      <c r="A87" s="19" t="n">
        <v>6</v>
      </c>
      <c r="B87" s="20" t="n">
        <v>50</v>
      </c>
      <c r="C87" s="20" t="s">
        <v>295</v>
      </c>
      <c r="D87" s="20" t="s">
        <v>32</v>
      </c>
      <c r="E87" s="20" t="n">
        <v>24000</v>
      </c>
      <c r="F87" s="21"/>
      <c r="G87" s="0" t="n">
        <f aca="false">IF(D87="Mono&amp;Dual",MIN(E87,F87)*2,MIN(E87,F87))</f>
        <v>24000</v>
      </c>
    </row>
    <row r="88" customFormat="false" ht="15" hidden="false" customHeight="false" outlineLevel="0" collapsed="false">
      <c r="A88" s="16" t="n">
        <v>6</v>
      </c>
      <c r="B88" s="17" t="n">
        <v>50</v>
      </c>
      <c r="C88" s="17" t="s">
        <v>296</v>
      </c>
      <c r="D88" s="17" t="s">
        <v>32</v>
      </c>
      <c r="E88" s="17" t="n">
        <v>26000</v>
      </c>
      <c r="F88" s="18"/>
      <c r="G88" s="0" t="n">
        <f aca="false">IF(D88="Mono&amp;Dual",MIN(E88,F88)*2,MIN(E88,F88))</f>
        <v>26000</v>
      </c>
    </row>
    <row r="89" customFormat="false" ht="15" hidden="false" customHeight="false" outlineLevel="0" collapsed="false">
      <c r="A89" s="19" t="n">
        <v>6</v>
      </c>
      <c r="B89" s="20" t="n">
        <v>50</v>
      </c>
      <c r="C89" s="20" t="s">
        <v>297</v>
      </c>
      <c r="D89" s="20" t="s">
        <v>32</v>
      </c>
      <c r="E89" s="20" t="n">
        <v>30000</v>
      </c>
      <c r="F89" s="21"/>
      <c r="G89" s="0" t="n">
        <f aca="false">IF(D89="Mono&amp;Dual",MIN(E89,F89)*2,MIN(E89,F89))</f>
        <v>30000</v>
      </c>
    </row>
    <row r="90" customFormat="false" ht="15" hidden="false" customHeight="false" outlineLevel="0" collapsed="false">
      <c r="A90" s="16" t="n">
        <v>6</v>
      </c>
      <c r="B90" s="17" t="n">
        <v>50</v>
      </c>
      <c r="C90" s="17" t="s">
        <v>217</v>
      </c>
      <c r="D90" s="17" t="s">
        <v>36</v>
      </c>
      <c r="E90" s="17"/>
      <c r="F90" s="18" t="n">
        <v>10000</v>
      </c>
      <c r="G90" s="0" t="n">
        <f aca="false">IF(D90="Mono&amp;Dual",MIN(E90,F90)*2,MIN(E90,F90))</f>
        <v>10000</v>
      </c>
    </row>
    <row r="91" customFormat="false" ht="15" hidden="false" customHeight="false" outlineLevel="0" collapsed="false">
      <c r="A91" s="19" t="n">
        <v>6</v>
      </c>
      <c r="B91" s="20" t="n">
        <v>50</v>
      </c>
      <c r="C91" s="20" t="s">
        <v>218</v>
      </c>
      <c r="D91" s="20" t="s">
        <v>36</v>
      </c>
      <c r="E91" s="20"/>
      <c r="F91" s="21" t="n">
        <v>12000</v>
      </c>
      <c r="G91" s="0" t="n">
        <f aca="false">IF(D91="Mono&amp;Dual",MIN(E91,F91)*2,MIN(E91,F91))</f>
        <v>12000</v>
      </c>
    </row>
    <row r="92" customFormat="false" ht="15" hidden="false" customHeight="false" outlineLevel="0" collapsed="false">
      <c r="A92" s="16" t="n">
        <v>6</v>
      </c>
      <c r="B92" s="17" t="n">
        <v>100</v>
      </c>
      <c r="C92" s="17" t="s">
        <v>216</v>
      </c>
      <c r="D92" s="17" t="s">
        <v>211</v>
      </c>
      <c r="E92" s="17" t="n">
        <v>1000</v>
      </c>
      <c r="F92" s="18" t="n">
        <v>2000</v>
      </c>
      <c r="G92" s="0" t="n">
        <f aca="false">IF(D92="Mono&amp;Dual",MIN(E92,F92)*2,MIN(E92,F92))</f>
        <v>2000</v>
      </c>
    </row>
    <row r="93" customFormat="false" ht="15" hidden="false" customHeight="false" outlineLevel="0" collapsed="false">
      <c r="A93" s="19" t="n">
        <v>6</v>
      </c>
      <c r="B93" s="20" t="n">
        <v>100</v>
      </c>
      <c r="C93" s="20" t="s">
        <v>224</v>
      </c>
      <c r="D93" s="20" t="s">
        <v>211</v>
      </c>
      <c r="E93" s="20" t="n">
        <v>1000</v>
      </c>
      <c r="F93" s="21" t="n">
        <v>2000</v>
      </c>
      <c r="G93" s="0" t="n">
        <f aca="false">IF(D93="Mono&amp;Dual",MIN(E93,F93)*2,MIN(E93,F93))</f>
        <v>2000</v>
      </c>
    </row>
    <row r="94" customFormat="false" ht="15" hidden="false" customHeight="false" outlineLevel="0" collapsed="false">
      <c r="A94" s="16" t="n">
        <v>6</v>
      </c>
      <c r="B94" s="17" t="n">
        <v>100</v>
      </c>
      <c r="C94" s="17" t="s">
        <v>232</v>
      </c>
      <c r="D94" s="17" t="s">
        <v>211</v>
      </c>
      <c r="E94" s="17" t="n">
        <v>1000</v>
      </c>
      <c r="F94" s="18" t="n">
        <v>2000</v>
      </c>
      <c r="G94" s="0" t="n">
        <f aca="false">IF(D94="Mono&amp;Dual",MIN(E94,F94)*2,MIN(E94,F94))</f>
        <v>2000</v>
      </c>
    </row>
    <row r="95" customFormat="false" ht="15" hidden="false" customHeight="false" outlineLevel="0" collapsed="false">
      <c r="A95" s="19" t="n">
        <v>6</v>
      </c>
      <c r="B95" s="20" t="n">
        <v>100</v>
      </c>
      <c r="C95" s="20" t="s">
        <v>234</v>
      </c>
      <c r="D95" s="20" t="s">
        <v>211</v>
      </c>
      <c r="E95" s="20" t="n">
        <v>1000</v>
      </c>
      <c r="F95" s="21" t="n">
        <v>2000</v>
      </c>
      <c r="G95" s="0" t="n">
        <f aca="false">IF(D95="Mono&amp;Dual",MIN(E95,F95)*2,MIN(E95,F95))</f>
        <v>2000</v>
      </c>
    </row>
    <row r="96" customFormat="false" ht="15" hidden="false" customHeight="false" outlineLevel="0" collapsed="false">
      <c r="A96" s="16" t="n">
        <v>6</v>
      </c>
      <c r="B96" s="17" t="n">
        <v>100</v>
      </c>
      <c r="C96" s="17" t="s">
        <v>236</v>
      </c>
      <c r="D96" s="17" t="s">
        <v>211</v>
      </c>
      <c r="E96" s="17" t="n">
        <v>1000</v>
      </c>
      <c r="F96" s="18" t="n">
        <v>2000</v>
      </c>
      <c r="G96" s="0" t="n">
        <f aca="false">IF(D96="Mono&amp;Dual",MIN(E96,F96)*2,MIN(E96,F96))</f>
        <v>2000</v>
      </c>
    </row>
    <row r="97" customFormat="false" ht="15" hidden="false" customHeight="false" outlineLevel="0" collapsed="false">
      <c r="A97" s="19" t="n">
        <v>6</v>
      </c>
      <c r="B97" s="20" t="n">
        <v>100</v>
      </c>
      <c r="C97" s="20" t="s">
        <v>238</v>
      </c>
      <c r="D97" s="20" t="s">
        <v>211</v>
      </c>
      <c r="E97" s="20" t="n">
        <v>1000</v>
      </c>
      <c r="F97" s="21" t="n">
        <v>2000</v>
      </c>
      <c r="G97" s="0" t="n">
        <f aca="false">IF(D97="Mono&amp;Dual",MIN(E97,F97)*2,MIN(E97,F97))</f>
        <v>2000</v>
      </c>
    </row>
    <row r="98" customFormat="false" ht="15" hidden="false" customHeight="false" outlineLevel="0" collapsed="false">
      <c r="A98" s="16" t="n">
        <v>6</v>
      </c>
      <c r="B98" s="17" t="n">
        <v>100</v>
      </c>
      <c r="C98" s="17" t="s">
        <v>240</v>
      </c>
      <c r="D98" s="17" t="s">
        <v>211</v>
      </c>
      <c r="E98" s="17" t="n">
        <v>1000</v>
      </c>
      <c r="F98" s="18" t="n">
        <v>2000</v>
      </c>
      <c r="G98" s="0" t="n">
        <f aca="false">IF(D98="Mono&amp;Dual",MIN(E98,F98)*2,MIN(E98,F98))</f>
        <v>2000</v>
      </c>
    </row>
    <row r="99" customFormat="false" ht="15" hidden="false" customHeight="false" outlineLevel="0" collapsed="false">
      <c r="A99" s="19" t="n">
        <v>6</v>
      </c>
      <c r="B99" s="20" t="n">
        <v>100</v>
      </c>
      <c r="C99" s="20" t="s">
        <v>242</v>
      </c>
      <c r="D99" s="20" t="s">
        <v>211</v>
      </c>
      <c r="E99" s="20" t="n">
        <v>1000</v>
      </c>
      <c r="F99" s="21" t="n">
        <v>2000</v>
      </c>
      <c r="G99" s="0" t="n">
        <f aca="false">IF(D99="Mono&amp;Dual",MIN(E99,F99)*2,MIN(E99,F99))</f>
        <v>2000</v>
      </c>
    </row>
    <row r="100" customFormat="false" ht="15" hidden="false" customHeight="false" outlineLevel="0" collapsed="false">
      <c r="A100" s="16" t="n">
        <v>6</v>
      </c>
      <c r="B100" s="17" t="n">
        <v>100</v>
      </c>
      <c r="C100" s="17" t="s">
        <v>244</v>
      </c>
      <c r="D100" s="17" t="s">
        <v>211</v>
      </c>
      <c r="E100" s="17" t="n">
        <v>1000</v>
      </c>
      <c r="F100" s="18" t="n">
        <v>2000</v>
      </c>
      <c r="G100" s="0" t="n">
        <f aca="false">IF(D100="Mono&amp;Dual",MIN(E100,F100)*2,MIN(E100,F100))</f>
        <v>2000</v>
      </c>
    </row>
    <row r="101" customFormat="false" ht="15" hidden="false" customHeight="false" outlineLevel="0" collapsed="false">
      <c r="A101" s="19" t="n">
        <v>6</v>
      </c>
      <c r="B101" s="20" t="n">
        <v>100</v>
      </c>
      <c r="C101" s="20" t="s">
        <v>246</v>
      </c>
      <c r="D101" s="20" t="s">
        <v>211</v>
      </c>
      <c r="E101" s="20" t="n">
        <v>1000</v>
      </c>
      <c r="F101" s="21" t="n">
        <v>2000</v>
      </c>
      <c r="G101" s="0" t="n">
        <f aca="false">IF(D101="Mono&amp;Dual",MIN(E101,F101)*2,MIN(E101,F101))</f>
        <v>2000</v>
      </c>
    </row>
    <row r="102" customFormat="false" ht="15" hidden="false" customHeight="false" outlineLevel="0" collapsed="false">
      <c r="A102" s="16" t="n">
        <v>6</v>
      </c>
      <c r="B102" s="17" t="n">
        <v>100</v>
      </c>
      <c r="C102" s="17" t="s">
        <v>296</v>
      </c>
      <c r="D102" s="17" t="s">
        <v>211</v>
      </c>
      <c r="E102" s="17" t="n">
        <v>1000</v>
      </c>
      <c r="F102" s="18" t="n">
        <v>2000</v>
      </c>
      <c r="G102" s="0" t="n">
        <f aca="false">IF(D102="Mono&amp;Dual",MIN(E102,F102)*2,MIN(E102,F102))</f>
        <v>2000</v>
      </c>
    </row>
    <row r="103" customFormat="false" ht="15" hidden="false" customHeight="false" outlineLevel="0" collapsed="false">
      <c r="A103" s="19" t="n">
        <v>6</v>
      </c>
      <c r="B103" s="20" t="n">
        <v>100</v>
      </c>
      <c r="C103" s="20" t="s">
        <v>298</v>
      </c>
      <c r="D103" s="20" t="s">
        <v>211</v>
      </c>
      <c r="E103" s="20" t="n">
        <v>1000</v>
      </c>
      <c r="F103" s="21" t="n">
        <v>2000</v>
      </c>
      <c r="G103" s="0" t="n">
        <f aca="false">IF(D103="Mono&amp;Dual",MIN(E103,F103)*2,MIN(E103,F103))</f>
        <v>2000</v>
      </c>
    </row>
    <row r="104" customFormat="false" ht="15" hidden="false" customHeight="false" outlineLevel="0" collapsed="false">
      <c r="A104" s="16" t="n">
        <v>6</v>
      </c>
      <c r="B104" s="17" t="n">
        <v>100</v>
      </c>
      <c r="C104" s="17" t="s">
        <v>300</v>
      </c>
      <c r="D104" s="17" t="s">
        <v>211</v>
      </c>
      <c r="E104" s="17" t="n">
        <v>1000</v>
      </c>
      <c r="F104" s="18" t="n">
        <v>2000</v>
      </c>
      <c r="G104" s="0" t="n">
        <f aca="false">IF(D104="Mono&amp;Dual",MIN(E104,F104)*2,MIN(E104,F104))</f>
        <v>2000</v>
      </c>
    </row>
    <row r="105" customFormat="false" ht="15" hidden="false" customHeight="false" outlineLevel="0" collapsed="false">
      <c r="A105" s="19" t="n">
        <v>6</v>
      </c>
      <c r="B105" s="20" t="n">
        <v>100</v>
      </c>
      <c r="C105" s="20" t="s">
        <v>302</v>
      </c>
      <c r="D105" s="20" t="s">
        <v>211</v>
      </c>
      <c r="E105" s="20" t="n">
        <v>1000</v>
      </c>
      <c r="F105" s="21" t="n">
        <v>2000</v>
      </c>
      <c r="G105" s="0" t="n">
        <f aca="false">IF(D105="Mono&amp;Dual",MIN(E105,F105)*2,MIN(E105,F105))</f>
        <v>2000</v>
      </c>
    </row>
    <row r="106" customFormat="false" ht="15" hidden="false" customHeight="false" outlineLevel="0" collapsed="false">
      <c r="A106" s="16" t="n">
        <v>6</v>
      </c>
      <c r="B106" s="17" t="n">
        <v>100</v>
      </c>
      <c r="C106" s="17" t="s">
        <v>304</v>
      </c>
      <c r="D106" s="17" t="s">
        <v>211</v>
      </c>
      <c r="E106" s="17" t="n">
        <v>1000</v>
      </c>
      <c r="F106" s="18" t="n">
        <v>2000</v>
      </c>
      <c r="G106" s="0" t="n">
        <f aca="false">IF(D106="Mono&amp;Dual",MIN(E106,F106)*2,MIN(E106,F106))</f>
        <v>2000</v>
      </c>
    </row>
    <row r="107" customFormat="false" ht="15" hidden="false" customHeight="false" outlineLevel="0" collapsed="false">
      <c r="A107" s="19" t="n">
        <v>6</v>
      </c>
      <c r="B107" s="20" t="n">
        <v>100</v>
      </c>
      <c r="C107" s="20" t="s">
        <v>319</v>
      </c>
      <c r="D107" s="20" t="s">
        <v>32</v>
      </c>
      <c r="E107" s="20" t="n">
        <v>500</v>
      </c>
      <c r="F107" s="21"/>
      <c r="G107" s="0" t="n">
        <f aca="false">IF(D107="Mono&amp;Dual",MIN(E107,F107)*2,MIN(E107,F107))</f>
        <v>500</v>
      </c>
    </row>
    <row r="108" customFormat="false" ht="15" hidden="false" customHeight="false" outlineLevel="0" collapsed="false">
      <c r="A108" s="16" t="n">
        <v>6</v>
      </c>
      <c r="B108" s="17" t="n">
        <v>100</v>
      </c>
      <c r="C108" s="17" t="s">
        <v>320</v>
      </c>
      <c r="D108" s="17" t="s">
        <v>32</v>
      </c>
      <c r="E108" s="17" t="n">
        <v>500</v>
      </c>
      <c r="F108" s="18"/>
      <c r="G108" s="0" t="n">
        <f aca="false">IF(D108="Mono&amp;Dual",MIN(E108,F108)*2,MIN(E108,F108))</f>
        <v>500</v>
      </c>
    </row>
    <row r="109" customFormat="false" ht="15" hidden="false" customHeight="false" outlineLevel="0" collapsed="false">
      <c r="A109" s="19" t="n">
        <v>6</v>
      </c>
      <c r="B109" s="20" t="n">
        <v>100</v>
      </c>
      <c r="C109" s="20" t="s">
        <v>321</v>
      </c>
      <c r="D109" s="20" t="s">
        <v>32</v>
      </c>
      <c r="E109" s="20" t="n">
        <v>500</v>
      </c>
      <c r="F109" s="21"/>
      <c r="G109" s="0" t="n">
        <f aca="false">IF(D109="Mono&amp;Dual",MIN(E109,F109)*2,MIN(E109,F109))</f>
        <v>500</v>
      </c>
    </row>
    <row r="110" customFormat="false" ht="15" hidden="false" customHeight="false" outlineLevel="0" collapsed="false">
      <c r="A110" s="16" t="n">
        <v>6</v>
      </c>
      <c r="B110" s="17" t="n">
        <v>100</v>
      </c>
      <c r="C110" s="17" t="s">
        <v>322</v>
      </c>
      <c r="D110" s="17" t="s">
        <v>32</v>
      </c>
      <c r="E110" s="17" t="n">
        <v>500</v>
      </c>
      <c r="F110" s="18"/>
      <c r="G110" s="0" t="n">
        <f aca="false">IF(D110="Mono&amp;Dual",MIN(E110,F110)*2,MIN(E110,F110))</f>
        <v>500</v>
      </c>
    </row>
    <row r="111" customFormat="false" ht="15" hidden="false" customHeight="false" outlineLevel="0" collapsed="false">
      <c r="A111" s="19" t="n">
        <v>6</v>
      </c>
      <c r="B111" s="20" t="n">
        <v>100</v>
      </c>
      <c r="C111" s="20" t="s">
        <v>323</v>
      </c>
      <c r="D111" s="20" t="s">
        <v>32</v>
      </c>
      <c r="E111" s="20" t="n">
        <v>500</v>
      </c>
      <c r="F111" s="21"/>
      <c r="G111" s="0" t="n">
        <f aca="false">IF(D111="Mono&amp;Dual",MIN(E111,F111)*2,MIN(E111,F111))</f>
        <v>500</v>
      </c>
    </row>
    <row r="112" customFormat="false" ht="15" hidden="false" customHeight="false" outlineLevel="0" collapsed="false">
      <c r="A112" s="16" t="n">
        <v>6</v>
      </c>
      <c r="B112" s="17" t="n">
        <v>100</v>
      </c>
      <c r="C112" s="17" t="s">
        <v>324</v>
      </c>
      <c r="D112" s="17" t="s">
        <v>32</v>
      </c>
      <c r="E112" s="17" t="n">
        <v>500</v>
      </c>
      <c r="F112" s="18"/>
      <c r="G112" s="0" t="n">
        <f aca="false">IF(D112="Mono&amp;Dual",MIN(E112,F112)*2,MIN(E112,F112))</f>
        <v>500</v>
      </c>
    </row>
    <row r="113" customFormat="false" ht="15" hidden="false" customHeight="false" outlineLevel="0" collapsed="false">
      <c r="A113" s="19" t="n">
        <v>6</v>
      </c>
      <c r="B113" s="20" t="n">
        <v>100</v>
      </c>
      <c r="C113" s="20" t="s">
        <v>325</v>
      </c>
      <c r="D113" s="20" t="s">
        <v>32</v>
      </c>
      <c r="E113" s="20" t="n">
        <v>500</v>
      </c>
      <c r="F113" s="21"/>
      <c r="G113" s="0" t="n">
        <f aca="false">IF(D113="Mono&amp;Dual",MIN(E113,F113)*2,MIN(E113,F113))</f>
        <v>500</v>
      </c>
    </row>
    <row r="114" customFormat="false" ht="15" hidden="false" customHeight="false" outlineLevel="0" collapsed="false">
      <c r="A114" s="16" t="n">
        <v>6</v>
      </c>
      <c r="B114" s="17" t="n">
        <v>100</v>
      </c>
      <c r="C114" s="17" t="s">
        <v>326</v>
      </c>
      <c r="D114" s="17" t="s">
        <v>32</v>
      </c>
      <c r="E114" s="17" t="n">
        <v>500</v>
      </c>
      <c r="F114" s="18"/>
      <c r="G114" s="0" t="n">
        <f aca="false">IF(D114="Mono&amp;Dual",MIN(E114,F114)*2,MIN(E114,F114))</f>
        <v>500</v>
      </c>
    </row>
    <row r="115" customFormat="false" ht="15" hidden="false" customHeight="false" outlineLevel="0" collapsed="false">
      <c r="A115" s="19" t="n">
        <v>6</v>
      </c>
      <c r="B115" s="20" t="n">
        <v>100</v>
      </c>
      <c r="C115" s="20" t="s">
        <v>327</v>
      </c>
      <c r="D115" s="20" t="s">
        <v>32</v>
      </c>
      <c r="E115" s="20" t="n">
        <v>500</v>
      </c>
      <c r="F115" s="21"/>
      <c r="G115" s="0" t="n">
        <f aca="false">IF(D115="Mono&amp;Dual",MIN(E115,F115)*2,MIN(E115,F115))</f>
        <v>500</v>
      </c>
    </row>
    <row r="116" customFormat="false" ht="15" hidden="false" customHeight="false" outlineLevel="0" collapsed="false">
      <c r="A116" s="16" t="n">
        <v>6</v>
      </c>
      <c r="B116" s="17" t="n">
        <v>100</v>
      </c>
      <c r="C116" s="17" t="s">
        <v>328</v>
      </c>
      <c r="D116" s="17" t="s">
        <v>32</v>
      </c>
      <c r="E116" s="17" t="n">
        <v>500</v>
      </c>
      <c r="F116" s="18"/>
      <c r="G116" s="0" t="n">
        <f aca="false">IF(D116="Mono&amp;Dual",MIN(E116,F116)*2,MIN(E116,F116))</f>
        <v>500</v>
      </c>
    </row>
    <row r="117" customFormat="false" ht="15" hidden="false" customHeight="false" outlineLevel="0" collapsed="false">
      <c r="A117" s="19" t="n">
        <v>6</v>
      </c>
      <c r="B117" s="20" t="n">
        <v>100</v>
      </c>
      <c r="C117" s="20" t="s">
        <v>329</v>
      </c>
      <c r="D117" s="20" t="s">
        <v>32</v>
      </c>
      <c r="E117" s="20" t="n">
        <v>500</v>
      </c>
      <c r="F117" s="21"/>
      <c r="G117" s="0" t="n">
        <f aca="false">IF(D117="Mono&amp;Dual",MIN(E117,F117)*2,MIN(E117,F117))</f>
        <v>500</v>
      </c>
    </row>
    <row r="118" customFormat="false" ht="15" hidden="false" customHeight="false" outlineLevel="0" collapsed="false">
      <c r="A118" s="16" t="n">
        <v>6</v>
      </c>
      <c r="B118" s="17" t="n">
        <v>100</v>
      </c>
      <c r="C118" s="17" t="s">
        <v>330</v>
      </c>
      <c r="D118" s="17" t="s">
        <v>32</v>
      </c>
      <c r="E118" s="17" t="n">
        <v>500</v>
      </c>
      <c r="F118" s="18"/>
      <c r="G118" s="0" t="n">
        <f aca="false">IF(D118="Mono&amp;Dual",MIN(E118,F118)*2,MIN(E118,F118))</f>
        <v>500</v>
      </c>
    </row>
    <row r="119" customFormat="false" ht="15" hidden="false" customHeight="false" outlineLevel="0" collapsed="false">
      <c r="A119" s="19" t="n">
        <v>6</v>
      </c>
      <c r="B119" s="20" t="n">
        <v>100</v>
      </c>
      <c r="C119" s="20" t="s">
        <v>331</v>
      </c>
      <c r="D119" s="20" t="s">
        <v>32</v>
      </c>
      <c r="E119" s="20" t="n">
        <v>500</v>
      </c>
      <c r="F119" s="21"/>
      <c r="G119" s="0" t="n">
        <f aca="false">IF(D119="Mono&amp;Dual",MIN(E119,F119)*2,MIN(E119,F119))</f>
        <v>500</v>
      </c>
    </row>
    <row r="120" customFormat="false" ht="15" hidden="false" customHeight="false" outlineLevel="0" collapsed="false">
      <c r="A120" s="16" t="n">
        <v>6</v>
      </c>
      <c r="B120" s="17" t="n">
        <v>100</v>
      </c>
      <c r="C120" s="17" t="s">
        <v>332</v>
      </c>
      <c r="D120" s="17" t="s">
        <v>32</v>
      </c>
      <c r="E120" s="17" t="n">
        <v>500</v>
      </c>
      <c r="F120" s="18"/>
      <c r="G120" s="0" t="n">
        <f aca="false">IF(D120="Mono&amp;Dual",MIN(E120,F120)*2,MIN(E120,F120))</f>
        <v>500</v>
      </c>
    </row>
    <row r="121" customFormat="false" ht="15" hidden="false" customHeight="false" outlineLevel="0" collapsed="false">
      <c r="A121" s="19" t="n">
        <v>6</v>
      </c>
      <c r="B121" s="20" t="n">
        <v>100</v>
      </c>
      <c r="C121" s="20" t="s">
        <v>333</v>
      </c>
      <c r="D121" s="20" t="s">
        <v>32</v>
      </c>
      <c r="E121" s="20" t="n">
        <v>500</v>
      </c>
      <c r="F121" s="21"/>
      <c r="G121" s="0" t="n">
        <f aca="false">IF(D121="Mono&amp;Dual",MIN(E121,F121)*2,MIN(E121,F121))</f>
        <v>500</v>
      </c>
    </row>
    <row r="122" customFormat="false" ht="15" hidden="false" customHeight="false" outlineLevel="0" collapsed="false">
      <c r="A122" s="16" t="n">
        <v>6</v>
      </c>
      <c r="B122" s="17" t="n">
        <v>100</v>
      </c>
      <c r="C122" s="17" t="s">
        <v>334</v>
      </c>
      <c r="D122" s="17" t="s">
        <v>32</v>
      </c>
      <c r="E122" s="17" t="n">
        <v>500</v>
      </c>
      <c r="F122" s="18"/>
      <c r="G122" s="0" t="n">
        <f aca="false">IF(D122="Mono&amp;Dual",MIN(E122,F122)*2,MIN(E122,F122))</f>
        <v>500</v>
      </c>
    </row>
    <row r="123" customFormat="false" ht="15" hidden="false" customHeight="false" outlineLevel="0" collapsed="false">
      <c r="A123" s="19" t="n">
        <v>6</v>
      </c>
      <c r="B123" s="20" t="n">
        <v>100</v>
      </c>
      <c r="C123" s="20" t="s">
        <v>335</v>
      </c>
      <c r="D123" s="20" t="s">
        <v>32</v>
      </c>
      <c r="E123" s="20" t="n">
        <v>500</v>
      </c>
      <c r="F123" s="21"/>
      <c r="G123" s="0" t="n">
        <f aca="false">IF(D123="Mono&amp;Dual",MIN(E123,F123)*2,MIN(E123,F123))</f>
        <v>500</v>
      </c>
    </row>
    <row r="124" customFormat="false" ht="15" hidden="false" customHeight="false" outlineLevel="0" collapsed="false">
      <c r="A124" s="16" t="n">
        <v>6</v>
      </c>
      <c r="B124" s="17" t="n">
        <v>100</v>
      </c>
      <c r="C124" s="17" t="s">
        <v>336</v>
      </c>
      <c r="D124" s="17" t="s">
        <v>32</v>
      </c>
      <c r="E124" s="17" t="n">
        <v>500</v>
      </c>
      <c r="F124" s="18"/>
      <c r="G124" s="0" t="n">
        <f aca="false">IF(D124="Mono&amp;Dual",MIN(E124,F124)*2,MIN(E124,F124))</f>
        <v>500</v>
      </c>
    </row>
    <row r="125" customFormat="false" ht="15" hidden="false" customHeight="false" outlineLevel="0" collapsed="false">
      <c r="A125" s="19" t="n">
        <v>6</v>
      </c>
      <c r="B125" s="20" t="n">
        <v>100</v>
      </c>
      <c r="C125" s="20" t="s">
        <v>337</v>
      </c>
      <c r="D125" s="20" t="s">
        <v>32</v>
      </c>
      <c r="E125" s="20" t="n">
        <v>500</v>
      </c>
      <c r="F125" s="21"/>
      <c r="G125" s="0" t="n">
        <f aca="false">IF(D125="Mono&amp;Dual",MIN(E125,F125)*2,MIN(E125,F125))</f>
        <v>500</v>
      </c>
    </row>
    <row r="126" customFormat="false" ht="15" hidden="false" customHeight="false" outlineLevel="0" collapsed="false">
      <c r="A126" s="16" t="n">
        <v>6</v>
      </c>
      <c r="B126" s="17" t="n">
        <v>100</v>
      </c>
      <c r="C126" s="17" t="s">
        <v>338</v>
      </c>
      <c r="D126" s="17" t="s">
        <v>32</v>
      </c>
      <c r="E126" s="17" t="n">
        <v>500</v>
      </c>
      <c r="F126" s="18"/>
      <c r="G126" s="0" t="n">
        <f aca="false">IF(D126="Mono&amp;Dual",MIN(E126,F126)*2,MIN(E126,F126))</f>
        <v>500</v>
      </c>
    </row>
    <row r="127" customFormat="false" ht="15" hidden="false" customHeight="false" outlineLevel="0" collapsed="false">
      <c r="A127" s="19" t="n">
        <v>6</v>
      </c>
      <c r="B127" s="20" t="n">
        <v>100</v>
      </c>
      <c r="C127" s="20" t="s">
        <v>339</v>
      </c>
      <c r="D127" s="20" t="s">
        <v>32</v>
      </c>
      <c r="E127" s="20" t="n">
        <v>500</v>
      </c>
      <c r="F127" s="21"/>
      <c r="G127" s="0" t="n">
        <f aca="false">IF(D127="Mono&amp;Dual",MIN(E127,F127)*2,MIN(E127,F127))</f>
        <v>500</v>
      </c>
    </row>
    <row r="128" customFormat="false" ht="15" hidden="false" customHeight="false" outlineLevel="0" collapsed="false">
      <c r="A128" s="16" t="n">
        <v>6</v>
      </c>
      <c r="B128" s="17" t="n">
        <v>100</v>
      </c>
      <c r="C128" s="17" t="s">
        <v>340</v>
      </c>
      <c r="D128" s="17" t="s">
        <v>32</v>
      </c>
      <c r="E128" s="17" t="n">
        <v>500</v>
      </c>
      <c r="F128" s="18"/>
      <c r="G128" s="0" t="n">
        <f aca="false">IF(D128="Mono&amp;Dual",MIN(E128,F128)*2,MIN(E128,F128))</f>
        <v>500</v>
      </c>
    </row>
    <row r="129" customFormat="false" ht="15" hidden="false" customHeight="false" outlineLevel="0" collapsed="false">
      <c r="A129" s="19" t="n">
        <v>6</v>
      </c>
      <c r="B129" s="20" t="n">
        <v>100</v>
      </c>
      <c r="C129" s="20" t="s">
        <v>341</v>
      </c>
      <c r="D129" s="20" t="s">
        <v>32</v>
      </c>
      <c r="E129" s="20" t="n">
        <v>500</v>
      </c>
      <c r="F129" s="21"/>
      <c r="G129" s="0" t="n">
        <f aca="false">IF(D129="Mono&amp;Dual",MIN(E129,F129)*2,MIN(E129,F129))</f>
        <v>500</v>
      </c>
    </row>
    <row r="130" customFormat="false" ht="15" hidden="false" customHeight="false" outlineLevel="0" collapsed="false">
      <c r="A130" s="16" t="n">
        <v>6</v>
      </c>
      <c r="B130" s="17" t="n">
        <v>100</v>
      </c>
      <c r="C130" s="17" t="s">
        <v>342</v>
      </c>
      <c r="D130" s="17" t="s">
        <v>32</v>
      </c>
      <c r="E130" s="17" t="n">
        <v>500</v>
      </c>
      <c r="F130" s="18"/>
      <c r="G130" s="0" t="n">
        <f aca="false">IF(D130="Mono&amp;Dual",MIN(E130,F130)*2,MIN(E130,F130))</f>
        <v>500</v>
      </c>
    </row>
    <row r="131" customFormat="false" ht="15" hidden="false" customHeight="false" outlineLevel="0" collapsed="false">
      <c r="A131" s="19" t="n">
        <v>6</v>
      </c>
      <c r="B131" s="20" t="n">
        <v>100</v>
      </c>
      <c r="C131" s="20" t="s">
        <v>215</v>
      </c>
      <c r="D131" s="20" t="s">
        <v>211</v>
      </c>
      <c r="E131" s="20" t="n">
        <v>1000</v>
      </c>
      <c r="F131" s="21" t="n">
        <v>2000</v>
      </c>
      <c r="G131" s="0" t="n">
        <f aca="false">IF(D131="Mono&amp;Dual",MIN(E131,F131)*2,MIN(E131,F131))</f>
        <v>2000</v>
      </c>
    </row>
    <row r="132" customFormat="false" ht="15" hidden="false" customHeight="false" outlineLevel="0" collapsed="false">
      <c r="A132" s="16" t="n">
        <v>6</v>
      </c>
      <c r="B132" s="17" t="n">
        <v>100</v>
      </c>
      <c r="C132" s="17" t="s">
        <v>223</v>
      </c>
      <c r="D132" s="17" t="s">
        <v>211</v>
      </c>
      <c r="E132" s="17" t="n">
        <v>2000</v>
      </c>
      <c r="F132" s="18" t="n">
        <v>2000</v>
      </c>
      <c r="G132" s="0" t="n">
        <f aca="false">IF(D132="Mono&amp;Dual",MIN(E132,F132)*2,MIN(E132,F132))</f>
        <v>4000</v>
      </c>
    </row>
    <row r="133" customFormat="false" ht="15" hidden="false" customHeight="false" outlineLevel="0" collapsed="false">
      <c r="A133" s="19" t="n">
        <v>6</v>
      </c>
      <c r="B133" s="20" t="n">
        <v>100</v>
      </c>
      <c r="C133" s="20" t="s">
        <v>231</v>
      </c>
      <c r="D133" s="20" t="s">
        <v>211</v>
      </c>
      <c r="E133" s="20" t="n">
        <v>3000</v>
      </c>
      <c r="F133" s="21" t="n">
        <v>2000</v>
      </c>
      <c r="G133" s="0" t="n">
        <f aca="false">IF(D133="Mono&amp;Dual",MIN(E133,F133)*2,MIN(E133,F133))</f>
        <v>4000</v>
      </c>
    </row>
    <row r="134" customFormat="false" ht="15" hidden="false" customHeight="false" outlineLevel="0" collapsed="false">
      <c r="A134" s="16" t="n">
        <v>6</v>
      </c>
      <c r="B134" s="17" t="n">
        <v>100</v>
      </c>
      <c r="C134" s="17" t="s">
        <v>233</v>
      </c>
      <c r="D134" s="17" t="s">
        <v>211</v>
      </c>
      <c r="E134" s="17" t="n">
        <v>4000</v>
      </c>
      <c r="F134" s="18" t="n">
        <v>2000</v>
      </c>
      <c r="G134" s="0" t="n">
        <f aca="false">IF(D134="Mono&amp;Dual",MIN(E134,F134)*2,MIN(E134,F134))</f>
        <v>4000</v>
      </c>
    </row>
    <row r="135" customFormat="false" ht="15" hidden="false" customHeight="false" outlineLevel="0" collapsed="false">
      <c r="A135" s="19" t="n">
        <v>6</v>
      </c>
      <c r="B135" s="20" t="n">
        <v>100</v>
      </c>
      <c r="C135" s="20" t="s">
        <v>235</v>
      </c>
      <c r="D135" s="20" t="s">
        <v>211</v>
      </c>
      <c r="E135" s="20" t="n">
        <v>5000</v>
      </c>
      <c r="F135" s="21" t="n">
        <v>2000</v>
      </c>
      <c r="G135" s="0" t="n">
        <f aca="false">IF(D135="Mono&amp;Dual",MIN(E135,F135)*2,MIN(E135,F135))</f>
        <v>4000</v>
      </c>
    </row>
    <row r="136" customFormat="false" ht="15" hidden="false" customHeight="false" outlineLevel="0" collapsed="false">
      <c r="A136" s="16" t="n">
        <v>6</v>
      </c>
      <c r="B136" s="17" t="n">
        <v>100</v>
      </c>
      <c r="C136" s="17" t="s">
        <v>237</v>
      </c>
      <c r="D136" s="17" t="s">
        <v>211</v>
      </c>
      <c r="E136" s="17" t="n">
        <v>6000</v>
      </c>
      <c r="F136" s="18" t="n">
        <v>2000</v>
      </c>
      <c r="G136" s="0" t="n">
        <f aca="false">IF(D136="Mono&amp;Dual",MIN(E136,F136)*2,MIN(E136,F136))</f>
        <v>4000</v>
      </c>
    </row>
    <row r="137" customFormat="false" ht="15" hidden="false" customHeight="false" outlineLevel="0" collapsed="false">
      <c r="A137" s="19" t="n">
        <v>6</v>
      </c>
      <c r="B137" s="20" t="n">
        <v>100</v>
      </c>
      <c r="C137" s="20" t="s">
        <v>239</v>
      </c>
      <c r="D137" s="20" t="s">
        <v>211</v>
      </c>
      <c r="E137" s="20" t="n">
        <v>7000</v>
      </c>
      <c r="F137" s="21" t="n">
        <v>2000</v>
      </c>
      <c r="G137" s="0" t="n">
        <f aca="false">IF(D137="Mono&amp;Dual",MIN(E137,F137)*2,MIN(E137,F137))</f>
        <v>4000</v>
      </c>
    </row>
    <row r="138" customFormat="false" ht="15" hidden="false" customHeight="false" outlineLevel="0" collapsed="false">
      <c r="A138" s="16" t="n">
        <v>6</v>
      </c>
      <c r="B138" s="17" t="n">
        <v>100</v>
      </c>
      <c r="C138" s="17" t="s">
        <v>241</v>
      </c>
      <c r="D138" s="17" t="s">
        <v>211</v>
      </c>
      <c r="E138" s="17" t="n">
        <v>8000</v>
      </c>
      <c r="F138" s="18" t="n">
        <v>2000</v>
      </c>
      <c r="G138" s="0" t="n">
        <f aca="false">IF(D138="Mono&amp;Dual",MIN(E138,F138)*2,MIN(E138,F138))</f>
        <v>4000</v>
      </c>
    </row>
    <row r="139" customFormat="false" ht="15" hidden="false" customHeight="false" outlineLevel="0" collapsed="false">
      <c r="A139" s="19" t="n">
        <v>6</v>
      </c>
      <c r="B139" s="20" t="n">
        <v>100</v>
      </c>
      <c r="C139" s="20" t="s">
        <v>243</v>
      </c>
      <c r="D139" s="20" t="s">
        <v>211</v>
      </c>
      <c r="E139" s="20" t="n">
        <v>9000</v>
      </c>
      <c r="F139" s="21" t="n">
        <v>2000</v>
      </c>
      <c r="G139" s="0" t="n">
        <f aca="false">IF(D139="Mono&amp;Dual",MIN(E139,F139)*2,MIN(E139,F139))</f>
        <v>4000</v>
      </c>
    </row>
    <row r="140" customFormat="false" ht="15" hidden="false" customHeight="false" outlineLevel="0" collapsed="false">
      <c r="A140" s="16" t="n">
        <v>6</v>
      </c>
      <c r="B140" s="17" t="n">
        <v>100</v>
      </c>
      <c r="C140" s="17" t="s">
        <v>245</v>
      </c>
      <c r="D140" s="17" t="s">
        <v>211</v>
      </c>
      <c r="E140" s="17" t="n">
        <v>10000</v>
      </c>
      <c r="F140" s="18" t="n">
        <v>2000</v>
      </c>
      <c r="G140" s="0" t="n">
        <f aca="false">IF(D140="Mono&amp;Dual",MIN(E140,F140)*2,MIN(E140,F140))</f>
        <v>4000</v>
      </c>
    </row>
    <row r="141" customFormat="false" ht="15" hidden="false" customHeight="false" outlineLevel="0" collapsed="false">
      <c r="A141" s="19" t="n">
        <v>6</v>
      </c>
      <c r="B141" s="20" t="n">
        <v>100</v>
      </c>
      <c r="C141" s="20" t="s">
        <v>295</v>
      </c>
      <c r="D141" s="20" t="s">
        <v>211</v>
      </c>
      <c r="E141" s="20" t="n">
        <v>11000</v>
      </c>
      <c r="F141" s="21" t="n">
        <v>2000</v>
      </c>
      <c r="G141" s="0" t="n">
        <f aca="false">IF(D141="Mono&amp;Dual",MIN(E141,F141)*2,MIN(E141,F141))</f>
        <v>4000</v>
      </c>
    </row>
    <row r="142" customFormat="false" ht="15" hidden="false" customHeight="false" outlineLevel="0" collapsed="false">
      <c r="A142" s="16" t="n">
        <v>6</v>
      </c>
      <c r="B142" s="17" t="n">
        <v>100</v>
      </c>
      <c r="C142" s="17" t="s">
        <v>297</v>
      </c>
      <c r="D142" s="17" t="s">
        <v>211</v>
      </c>
      <c r="E142" s="17" t="n">
        <v>12000</v>
      </c>
      <c r="F142" s="18" t="n">
        <v>2000</v>
      </c>
      <c r="G142" s="0" t="n">
        <f aca="false">IF(D142="Mono&amp;Dual",MIN(E142,F142)*2,MIN(E142,F142))</f>
        <v>4000</v>
      </c>
    </row>
    <row r="143" customFormat="false" ht="15" hidden="false" customHeight="false" outlineLevel="0" collapsed="false">
      <c r="A143" s="19" t="n">
        <v>6</v>
      </c>
      <c r="B143" s="20" t="n">
        <v>100</v>
      </c>
      <c r="C143" s="20" t="s">
        <v>299</v>
      </c>
      <c r="D143" s="20" t="s">
        <v>211</v>
      </c>
      <c r="E143" s="20" t="n">
        <v>13000</v>
      </c>
      <c r="F143" s="21" t="n">
        <v>2000</v>
      </c>
      <c r="G143" s="0" t="n">
        <f aca="false">IF(D143="Mono&amp;Dual",MIN(E143,F143)*2,MIN(E143,F143))</f>
        <v>4000</v>
      </c>
    </row>
    <row r="144" customFormat="false" ht="15" hidden="false" customHeight="false" outlineLevel="0" collapsed="false">
      <c r="A144" s="16" t="n">
        <v>6</v>
      </c>
      <c r="B144" s="17" t="n">
        <v>100</v>
      </c>
      <c r="C144" s="17" t="s">
        <v>301</v>
      </c>
      <c r="D144" s="17" t="s">
        <v>211</v>
      </c>
      <c r="E144" s="17" t="n">
        <v>14000</v>
      </c>
      <c r="F144" s="18" t="n">
        <v>2000</v>
      </c>
      <c r="G144" s="0" t="n">
        <f aca="false">IF(D144="Mono&amp;Dual",MIN(E144,F144)*2,MIN(E144,F144))</f>
        <v>4000</v>
      </c>
    </row>
    <row r="145" customFormat="false" ht="15" hidden="false" customHeight="false" outlineLevel="0" collapsed="false">
      <c r="A145" s="19" t="n">
        <v>6</v>
      </c>
      <c r="B145" s="20" t="n">
        <v>100</v>
      </c>
      <c r="C145" s="20" t="s">
        <v>303</v>
      </c>
      <c r="D145" s="20" t="s">
        <v>211</v>
      </c>
      <c r="E145" s="20" t="n">
        <v>15000</v>
      </c>
      <c r="F145" s="21" t="n">
        <v>2000</v>
      </c>
      <c r="G145" s="0" t="n">
        <f aca="false">IF(D145="Mono&amp;Dual",MIN(E145,F145)*2,MIN(E145,F145))</f>
        <v>4000</v>
      </c>
    </row>
    <row r="146" customFormat="false" ht="15" hidden="false" customHeight="false" outlineLevel="0" collapsed="false">
      <c r="A146" s="16" t="n">
        <v>6</v>
      </c>
      <c r="B146" s="17" t="n">
        <v>100</v>
      </c>
      <c r="C146" s="17" t="s">
        <v>305</v>
      </c>
      <c r="D146" s="17" t="s">
        <v>32</v>
      </c>
      <c r="E146" s="17" t="n">
        <v>16000</v>
      </c>
      <c r="F146" s="18"/>
      <c r="G146" s="0" t="n">
        <f aca="false">IF(D146="Mono&amp;Dual",MIN(E146,F146)*2,MIN(E146,F146))</f>
        <v>16000</v>
      </c>
    </row>
    <row r="147" customFormat="false" ht="15" hidden="false" customHeight="false" outlineLevel="0" collapsed="false">
      <c r="A147" s="19" t="n">
        <v>6</v>
      </c>
      <c r="B147" s="20" t="n">
        <v>100</v>
      </c>
      <c r="C147" s="20" t="s">
        <v>306</v>
      </c>
      <c r="D147" s="20" t="s">
        <v>32</v>
      </c>
      <c r="E147" s="20" t="n">
        <v>17000</v>
      </c>
      <c r="F147" s="21"/>
      <c r="G147" s="0" t="n">
        <f aca="false">IF(D147="Mono&amp;Dual",MIN(E147,F147)*2,MIN(E147,F147))</f>
        <v>17000</v>
      </c>
    </row>
    <row r="148" customFormat="false" ht="15" hidden="false" customHeight="false" outlineLevel="0" collapsed="false">
      <c r="A148" s="16" t="n">
        <v>6</v>
      </c>
      <c r="B148" s="17" t="n">
        <v>100</v>
      </c>
      <c r="C148" s="17" t="s">
        <v>307</v>
      </c>
      <c r="D148" s="17" t="s">
        <v>32</v>
      </c>
      <c r="E148" s="17" t="n">
        <v>18000</v>
      </c>
      <c r="F148" s="18"/>
      <c r="G148" s="0" t="n">
        <f aca="false">IF(D148="Mono&amp;Dual",MIN(E148,F148)*2,MIN(E148,F148))</f>
        <v>18000</v>
      </c>
    </row>
    <row r="149" customFormat="false" ht="15" hidden="false" customHeight="false" outlineLevel="0" collapsed="false">
      <c r="A149" s="19" t="n">
        <v>6</v>
      </c>
      <c r="B149" s="20" t="n">
        <v>100</v>
      </c>
      <c r="C149" s="20" t="s">
        <v>308</v>
      </c>
      <c r="D149" s="20" t="s">
        <v>32</v>
      </c>
      <c r="E149" s="20" t="n">
        <v>19000</v>
      </c>
      <c r="F149" s="21"/>
      <c r="G149" s="0" t="n">
        <f aca="false">IF(D149="Mono&amp;Dual",MIN(E149,F149)*2,MIN(E149,F149))</f>
        <v>19000</v>
      </c>
    </row>
    <row r="150" customFormat="false" ht="15" hidden="false" customHeight="false" outlineLevel="0" collapsed="false">
      <c r="A150" s="16" t="n">
        <v>6</v>
      </c>
      <c r="B150" s="17" t="n">
        <v>100</v>
      </c>
      <c r="C150" s="17" t="s">
        <v>309</v>
      </c>
      <c r="D150" s="17" t="s">
        <v>32</v>
      </c>
      <c r="E150" s="17" t="n">
        <v>20000</v>
      </c>
      <c r="F150" s="18"/>
      <c r="G150" s="0" t="n">
        <f aca="false">IF(D150="Mono&amp;Dual",MIN(E150,F150)*2,MIN(E150,F150))</f>
        <v>20000</v>
      </c>
    </row>
    <row r="151" customFormat="false" ht="15" hidden="false" customHeight="false" outlineLevel="0" collapsed="false">
      <c r="A151" s="19" t="n">
        <v>6</v>
      </c>
      <c r="B151" s="20" t="n">
        <v>100</v>
      </c>
      <c r="C151" s="20" t="s">
        <v>310</v>
      </c>
      <c r="D151" s="20" t="s">
        <v>32</v>
      </c>
      <c r="E151" s="20" t="n">
        <v>21000</v>
      </c>
      <c r="F151" s="21"/>
      <c r="G151" s="0" t="n">
        <f aca="false">IF(D151="Mono&amp;Dual",MIN(E151,F151)*2,MIN(E151,F151))</f>
        <v>21000</v>
      </c>
    </row>
    <row r="152" customFormat="false" ht="15" hidden="false" customHeight="false" outlineLevel="0" collapsed="false">
      <c r="A152" s="16" t="n">
        <v>6</v>
      </c>
      <c r="B152" s="17" t="n">
        <v>100</v>
      </c>
      <c r="C152" s="17" t="s">
        <v>311</v>
      </c>
      <c r="D152" s="17" t="s">
        <v>32</v>
      </c>
      <c r="E152" s="17" t="n">
        <v>22000</v>
      </c>
      <c r="F152" s="18"/>
      <c r="G152" s="0" t="n">
        <f aca="false">IF(D152="Mono&amp;Dual",MIN(E152,F152)*2,MIN(E152,F152))</f>
        <v>22000</v>
      </c>
    </row>
    <row r="153" customFormat="false" ht="15" hidden="false" customHeight="false" outlineLevel="0" collapsed="false">
      <c r="A153" s="19" t="n">
        <v>6</v>
      </c>
      <c r="B153" s="20" t="n">
        <v>100</v>
      </c>
      <c r="C153" s="20" t="s">
        <v>312</v>
      </c>
      <c r="D153" s="20" t="s">
        <v>32</v>
      </c>
      <c r="E153" s="20" t="n">
        <v>23000</v>
      </c>
      <c r="F153" s="21"/>
      <c r="G153" s="0" t="n">
        <f aca="false">IF(D153="Mono&amp;Dual",MIN(E153,F153)*2,MIN(E153,F153))</f>
        <v>23000</v>
      </c>
    </row>
    <row r="154" customFormat="false" ht="15" hidden="false" customHeight="false" outlineLevel="0" collapsed="false">
      <c r="A154" s="16" t="n">
        <v>6</v>
      </c>
      <c r="B154" s="17" t="n">
        <v>100</v>
      </c>
      <c r="C154" s="17" t="s">
        <v>313</v>
      </c>
      <c r="D154" s="17" t="s">
        <v>32</v>
      </c>
      <c r="E154" s="17" t="n">
        <v>24000</v>
      </c>
      <c r="F154" s="18"/>
      <c r="G154" s="0" t="n">
        <f aca="false">IF(D154="Mono&amp;Dual",MIN(E154,F154)*2,MIN(E154,F154))</f>
        <v>24000</v>
      </c>
    </row>
    <row r="155" customFormat="false" ht="15" hidden="false" customHeight="false" outlineLevel="0" collapsed="false">
      <c r="A155" s="19" t="n">
        <v>6</v>
      </c>
      <c r="B155" s="20" t="n">
        <v>100</v>
      </c>
      <c r="C155" s="20" t="s">
        <v>314</v>
      </c>
      <c r="D155" s="20" t="s">
        <v>32</v>
      </c>
      <c r="E155" s="20" t="n">
        <v>25000</v>
      </c>
      <c r="F155" s="21"/>
      <c r="G155" s="0" t="n">
        <f aca="false">IF(D155="Mono&amp;Dual",MIN(E155,F155)*2,MIN(E155,F155))</f>
        <v>25000</v>
      </c>
    </row>
    <row r="156" customFormat="false" ht="15" hidden="false" customHeight="false" outlineLevel="0" collapsed="false">
      <c r="A156" s="16" t="n">
        <v>6</v>
      </c>
      <c r="B156" s="17" t="n">
        <v>100</v>
      </c>
      <c r="C156" s="17" t="s">
        <v>315</v>
      </c>
      <c r="D156" s="17" t="s">
        <v>32</v>
      </c>
      <c r="E156" s="17" t="n">
        <v>26000</v>
      </c>
      <c r="F156" s="18"/>
      <c r="G156" s="0" t="n">
        <f aca="false">IF(D156="Mono&amp;Dual",MIN(E156,F156)*2,MIN(E156,F156))</f>
        <v>26000</v>
      </c>
    </row>
    <row r="157" customFormat="false" ht="15" hidden="false" customHeight="false" outlineLevel="0" collapsed="false">
      <c r="A157" s="19" t="n">
        <v>6</v>
      </c>
      <c r="B157" s="20" t="n">
        <v>100</v>
      </c>
      <c r="C157" s="20" t="s">
        <v>316</v>
      </c>
      <c r="D157" s="20" t="s">
        <v>32</v>
      </c>
      <c r="E157" s="20" t="n">
        <v>27000</v>
      </c>
      <c r="F157" s="21"/>
      <c r="G157" s="0" t="n">
        <f aca="false">IF(D157="Mono&amp;Dual",MIN(E157,F157)*2,MIN(E157,F157))</f>
        <v>27000</v>
      </c>
    </row>
    <row r="158" customFormat="false" ht="15" hidden="false" customHeight="false" outlineLevel="0" collapsed="false">
      <c r="A158" s="16" t="n">
        <v>6</v>
      </c>
      <c r="B158" s="17" t="n">
        <v>100</v>
      </c>
      <c r="C158" s="17" t="s">
        <v>317</v>
      </c>
      <c r="D158" s="17" t="s">
        <v>32</v>
      </c>
      <c r="E158" s="17" t="n">
        <v>28000</v>
      </c>
      <c r="F158" s="18"/>
      <c r="G158" s="0" t="n">
        <f aca="false">IF(D158="Mono&amp;Dual",MIN(E158,F158)*2,MIN(E158,F158))</f>
        <v>28000</v>
      </c>
    </row>
    <row r="159" customFormat="false" ht="15" hidden="false" customHeight="false" outlineLevel="0" collapsed="false">
      <c r="A159" s="19" t="n">
        <v>6</v>
      </c>
      <c r="B159" s="20" t="n">
        <v>100</v>
      </c>
      <c r="C159" s="20" t="s">
        <v>318</v>
      </c>
      <c r="D159" s="20" t="s">
        <v>32</v>
      </c>
      <c r="E159" s="20" t="n">
        <v>30000</v>
      </c>
      <c r="F159" s="21"/>
      <c r="G159" s="0" t="n">
        <f aca="false">IF(D159="Mono&amp;Dual",MIN(E159,F159)*2,MIN(E159,F159))</f>
        <v>30000</v>
      </c>
    </row>
    <row r="160" customFormat="false" ht="15" hidden="false" customHeight="false" outlineLevel="0" collapsed="false">
      <c r="A160" s="16" t="n">
        <v>6</v>
      </c>
      <c r="B160" s="17" t="n">
        <v>100</v>
      </c>
      <c r="C160" s="17" t="s">
        <v>217</v>
      </c>
      <c r="D160" s="17" t="s">
        <v>36</v>
      </c>
      <c r="E160" s="17"/>
      <c r="F160" s="18" t="n">
        <v>4000</v>
      </c>
      <c r="G160" s="0" t="n">
        <f aca="false">IF(D160="Mono&amp;Dual",MIN(E160,F160)*2,MIN(E160,F160))</f>
        <v>4000</v>
      </c>
    </row>
    <row r="161" customFormat="false" ht="15" hidden="false" customHeight="false" outlineLevel="0" collapsed="false">
      <c r="A161" s="19" t="n">
        <v>6</v>
      </c>
      <c r="B161" s="20" t="n">
        <v>100</v>
      </c>
      <c r="C161" s="20" t="s">
        <v>218</v>
      </c>
      <c r="D161" s="20" t="s">
        <v>36</v>
      </c>
      <c r="E161" s="20"/>
      <c r="F161" s="21" t="n">
        <v>4000</v>
      </c>
      <c r="G161" s="0" t="n">
        <f aca="false">IF(D161="Mono&amp;Dual",MIN(E161,F161)*2,MIN(E161,F161))</f>
        <v>4000</v>
      </c>
    </row>
    <row r="162" customFormat="false" ht="15" hidden="false" customHeight="false" outlineLevel="0" collapsed="false">
      <c r="G162" s="0" t="n">
        <f aca="false">IF(D162="Mono&amp;Dual",MIN(E162,F162)*2,MIN(E162,F162))</f>
        <v>0</v>
      </c>
    </row>
    <row r="163" customFormat="false" ht="15" hidden="false" customHeight="false" outlineLevel="0" collapsed="false">
      <c r="G163" s="0" t="n">
        <f aca="false">IF(D163="Mono&amp;Dual",MIN(E163,F163)*2,MIN(E163,F163))</f>
        <v>0</v>
      </c>
    </row>
    <row r="164" customFormat="false" ht="15" hidden="false" customHeight="false" outlineLevel="0" collapsed="false">
      <c r="G164" s="0" t="n">
        <f aca="false">IF(D164="Mono&amp;Dual",MIN(E164,F164)*2,MIN(E164,F164))</f>
        <v>0</v>
      </c>
    </row>
    <row r="165" customFormat="false" ht="15" hidden="false" customHeight="false" outlineLevel="0" collapsed="false">
      <c r="G165" s="0" t="n">
        <f aca="false">IF(D165="Mono&amp;Dual",MIN(E165,F165)*2,MIN(E165,F165))</f>
        <v>0</v>
      </c>
    </row>
    <row r="166" customFormat="false" ht="15" hidden="false" customHeight="false" outlineLevel="0" collapsed="false">
      <c r="G166" s="0" t="n">
        <f aca="false">IF(D166="Mono&amp;Dual",MIN(E166,F166)*2,MIN(E166,F166))</f>
        <v>0</v>
      </c>
    </row>
    <row r="167" customFormat="false" ht="15" hidden="false" customHeight="false" outlineLevel="0" collapsed="false">
      <c r="G167" s="0" t="n">
        <f aca="false">IF(D167="Mono&amp;Dual",MIN(E167,F167)*2,MIN(E167,F167))</f>
        <v>0</v>
      </c>
    </row>
    <row r="168" customFormat="false" ht="15" hidden="false" customHeight="false" outlineLevel="0" collapsed="false">
      <c r="G168" s="0" t="n">
        <f aca="false">IF(D168="Mono&amp;Dual",MIN(E168,F168)*2,MIN(E168,F168))</f>
        <v>0</v>
      </c>
    </row>
    <row r="169" customFormat="false" ht="15" hidden="false" customHeight="false" outlineLevel="0" collapsed="false">
      <c r="G169" s="0" t="n">
        <f aca="false">IF(D169="Mono&amp;Dual",MIN(E169,F169)*2,MIN(E169,F169))</f>
        <v>0</v>
      </c>
    </row>
    <row r="170" customFormat="false" ht="15" hidden="false" customHeight="false" outlineLevel="0" collapsed="false">
      <c r="G170" s="0" t="n">
        <f aca="false">IF(D170="Mono&amp;Dual",MIN(E170,F170)*2,MIN(E170,F170))</f>
        <v>0</v>
      </c>
    </row>
    <row r="171" customFormat="false" ht="15" hidden="false" customHeight="false" outlineLevel="0" collapsed="false">
      <c r="G171" s="0" t="n">
        <f aca="false">IF(D171="Mono&amp;Dual",MIN(E171,F171)*2,MIN(E171,F171))</f>
        <v>0</v>
      </c>
    </row>
    <row r="172" customFormat="false" ht="15" hidden="false" customHeight="false" outlineLevel="0" collapsed="false">
      <c r="G172" s="0" t="n">
        <f aca="false">IF(D172="Mono&amp;Dual",MIN(E172,F172)*2,MIN(E172,F172))</f>
        <v>0</v>
      </c>
    </row>
    <row r="173" customFormat="false" ht="15" hidden="false" customHeight="false" outlineLevel="0" collapsed="false">
      <c r="G173" s="0" t="n">
        <f aca="false">IF(D173="Mono&amp;Dual",MIN(E173,F173)*2,MIN(E173,F173))</f>
        <v>0</v>
      </c>
    </row>
    <row r="174" customFormat="false" ht="15" hidden="false" customHeight="false" outlineLevel="0" collapsed="false">
      <c r="G174" s="0" t="n">
        <f aca="false">IF(D174="Mono&amp;Dual",MIN(E174,F174)*2,MIN(E174,F174))</f>
        <v>0</v>
      </c>
    </row>
    <row r="175" customFormat="false" ht="15" hidden="false" customHeight="false" outlineLevel="0" collapsed="false">
      <c r="G175" s="0" t="n">
        <f aca="false">IF(D175="Mono&amp;Dual",MIN(E175,F175)*2,MIN(E175,F175))</f>
        <v>0</v>
      </c>
    </row>
    <row r="176" customFormat="false" ht="15" hidden="false" customHeight="false" outlineLevel="0" collapsed="false">
      <c r="G176" s="0" t="n">
        <f aca="false">IF(D176="Mono&amp;Dual",MIN(E176,F176)*2,MIN(E176,F176))</f>
        <v>0</v>
      </c>
    </row>
    <row r="177" customFormat="false" ht="15" hidden="false" customHeight="false" outlineLevel="0" collapsed="false">
      <c r="G177" s="0" t="n">
        <f aca="false">IF(D177="Mono&amp;Dual",MIN(E177,F177)*2,MIN(E177,F177))</f>
        <v>0</v>
      </c>
    </row>
    <row r="178" customFormat="false" ht="15" hidden="false" customHeight="false" outlineLevel="0" collapsed="false">
      <c r="G178" s="0" t="n">
        <f aca="false">IF(D178="Mono&amp;Dual",MIN(E178,F178)*2,MIN(E178,F178))</f>
        <v>0</v>
      </c>
    </row>
    <row r="179" customFormat="false" ht="15" hidden="false" customHeight="false" outlineLevel="0" collapsed="false">
      <c r="G179" s="0" t="n">
        <f aca="false">IF(D179="Mono&amp;Dual",MIN(E179,F179)*2,MIN(E179,F179))</f>
        <v>0</v>
      </c>
    </row>
    <row r="180" customFormat="false" ht="15" hidden="false" customHeight="false" outlineLevel="0" collapsed="false">
      <c r="G180" s="0" t="n">
        <f aca="false">IF(D180="Mono&amp;Dual",MIN(E180,F180)*2,MIN(E180,F180))</f>
        <v>0</v>
      </c>
    </row>
    <row r="181" customFormat="false" ht="15" hidden="false" customHeight="false" outlineLevel="0" collapsed="false">
      <c r="G181" s="0" t="n">
        <f aca="false">IF(D181="Mono&amp;Dual",MIN(E181,F181)*2,MIN(E181,F181))</f>
        <v>0</v>
      </c>
    </row>
    <row r="182" customFormat="false" ht="15" hidden="false" customHeight="false" outlineLevel="0" collapsed="false">
      <c r="G182" s="0" t="n">
        <f aca="false">IF(D182="Mono&amp;Dual",MIN(E182,F182)*2,MIN(E182,F182))</f>
        <v>0</v>
      </c>
    </row>
    <row r="183" customFormat="false" ht="15" hidden="false" customHeight="false" outlineLevel="0" collapsed="false">
      <c r="G183" s="0" t="n">
        <f aca="false">IF(D183="Mono&amp;Dual",MIN(E183,F183)*2,MIN(E183,F183))</f>
        <v>0</v>
      </c>
    </row>
    <row r="184" customFormat="false" ht="15" hidden="false" customHeight="false" outlineLevel="0" collapsed="false">
      <c r="G184" s="0" t="n">
        <f aca="false">IF(D184="Mono&amp;Dual",MIN(E184,F184)*2,MIN(E184,F184))</f>
        <v>0</v>
      </c>
    </row>
    <row r="185" customFormat="false" ht="15" hidden="false" customHeight="false" outlineLevel="0" collapsed="false">
      <c r="G185" s="0" t="n">
        <f aca="false">IF(D185="Mono&amp;Dual",MIN(E185,F185)*2,MIN(E185,F185))</f>
        <v>0</v>
      </c>
    </row>
    <row r="186" customFormat="false" ht="15" hidden="false" customHeight="false" outlineLevel="0" collapsed="false">
      <c r="G186" s="0" t="n">
        <f aca="false">IF(D186="Mono&amp;Dual",MIN(E186,F186)*2,MIN(E186,F186))</f>
        <v>0</v>
      </c>
    </row>
    <row r="187" customFormat="false" ht="15" hidden="false" customHeight="false" outlineLevel="0" collapsed="false">
      <c r="G187" s="0" t="n">
        <f aca="false">IF(D187="Mono&amp;Dual",MIN(E187,F187)*2,MIN(E187,F187))</f>
        <v>0</v>
      </c>
    </row>
    <row r="188" customFormat="false" ht="15" hidden="false" customHeight="false" outlineLevel="0" collapsed="false">
      <c r="G188" s="0" t="n">
        <f aca="false">IF(D188="Mono&amp;Dual",MIN(E188,F188)*2,MIN(E188,F188))</f>
        <v>0</v>
      </c>
    </row>
    <row r="189" customFormat="false" ht="15" hidden="false" customHeight="false" outlineLevel="0" collapsed="false">
      <c r="G189" s="0" t="n">
        <f aca="false">IF(D189="Mono&amp;Dual",MIN(E189,F189)*2,MIN(E189,F189))</f>
        <v>0</v>
      </c>
    </row>
    <row r="190" customFormat="false" ht="15" hidden="false" customHeight="false" outlineLevel="0" collapsed="false">
      <c r="G190" s="0" t="n">
        <f aca="false">IF(D190="Mono&amp;Dual",MIN(E190,F190)*2,MIN(E190,F190))</f>
        <v>0</v>
      </c>
    </row>
    <row r="191" customFormat="false" ht="15" hidden="false" customHeight="false" outlineLevel="0" collapsed="false">
      <c r="G191" s="0" t="n">
        <f aca="false">IF(D191="Mono&amp;Dual",MIN(E191,F191)*2,MIN(E191,F191))</f>
        <v>0</v>
      </c>
    </row>
    <row r="192" customFormat="false" ht="15" hidden="false" customHeight="false" outlineLevel="0" collapsed="false">
      <c r="G192" s="0" t="n">
        <f aca="false">IF(D192="Mono&amp;Dual",MIN(E192,F192)*2,MIN(E192,F192))</f>
        <v>0</v>
      </c>
    </row>
    <row r="193" customFormat="false" ht="15" hidden="false" customHeight="false" outlineLevel="0" collapsed="false">
      <c r="G193" s="0" t="n">
        <f aca="false">IF(D193="Mono&amp;Dual",MIN(E193,F193)*2,MIN(E193,F193))</f>
        <v>0</v>
      </c>
    </row>
    <row r="194" customFormat="false" ht="15" hidden="false" customHeight="false" outlineLevel="0" collapsed="false">
      <c r="G194" s="0" t="n">
        <f aca="false">IF(D194="Mono&amp;Dual",MIN(E194,F194)*2,MIN(E194,F194))</f>
        <v>0</v>
      </c>
    </row>
    <row r="195" customFormat="false" ht="15" hidden="false" customHeight="false" outlineLevel="0" collapsed="false">
      <c r="G195" s="0" t="n">
        <f aca="false">IF(D195="Mono&amp;Dual",MIN(E195,F195)*2,MIN(E195,F195))</f>
        <v>0</v>
      </c>
    </row>
    <row r="196" customFormat="false" ht="15" hidden="false" customHeight="false" outlineLevel="0" collapsed="false">
      <c r="G196" s="0" t="n">
        <f aca="false">IF(D196="Mono&amp;Dual",MIN(E196,F196)*2,MIN(E196,F196))</f>
        <v>0</v>
      </c>
    </row>
    <row r="197" customFormat="false" ht="15" hidden="false" customHeight="false" outlineLevel="0" collapsed="false">
      <c r="G197" s="0" t="n">
        <f aca="false">IF(D197="Mono&amp;Dual",MIN(E197,F197)*2,MIN(E197,F197))</f>
        <v>0</v>
      </c>
    </row>
    <row r="198" customFormat="false" ht="15" hidden="false" customHeight="false" outlineLevel="0" collapsed="false">
      <c r="G198" s="0" t="n">
        <f aca="false">IF(D198="Mono&amp;Dual",MIN(E198,F198)*2,MIN(E198,F198))</f>
        <v>0</v>
      </c>
    </row>
    <row r="199" customFormat="false" ht="15" hidden="false" customHeight="false" outlineLevel="0" collapsed="false">
      <c r="G199" s="0" t="n">
        <f aca="false">IF(D199="Mono&amp;Dual",MIN(E199,F199)*2,MIN(E199,F199))</f>
        <v>0</v>
      </c>
    </row>
    <row r="200" customFormat="false" ht="15" hidden="false" customHeight="false" outlineLevel="0" collapsed="false">
      <c r="G200" s="0" t="n">
        <f aca="false">IF(D200="Mono&amp;Dual",MIN(E200,F200)*2,MIN(E200,F200))</f>
        <v>0</v>
      </c>
    </row>
    <row r="201" customFormat="false" ht="15" hidden="false" customHeight="false" outlineLevel="0" collapsed="false">
      <c r="G201" s="0" t="n">
        <f aca="false">IF(D201="Mono&amp;Dual",MIN(E201,F201)*2,MIN(E201,F201))</f>
        <v>0</v>
      </c>
    </row>
    <row r="202" customFormat="false" ht="15" hidden="false" customHeight="false" outlineLevel="0" collapsed="false">
      <c r="G202" s="0" t="n">
        <f aca="false">IF(D202="Mono&amp;Dual",MIN(E202,F202)*2,MIN(E202,F202))</f>
        <v>0</v>
      </c>
    </row>
    <row r="203" customFormat="false" ht="15" hidden="false" customHeight="false" outlineLevel="0" collapsed="false">
      <c r="G203" s="0" t="n">
        <f aca="false">IF(D203="Mono&amp;Dual",MIN(E203,F203)*2,MIN(E203,F203))</f>
        <v>0</v>
      </c>
    </row>
    <row r="204" customFormat="false" ht="15" hidden="false" customHeight="false" outlineLevel="0" collapsed="false">
      <c r="G204" s="0" t="n">
        <f aca="false">IF(D204="Mono&amp;Dual",MIN(E204,F204)*2,MIN(E204,F204))</f>
        <v>0</v>
      </c>
    </row>
    <row r="205" customFormat="false" ht="15" hidden="false" customHeight="false" outlineLevel="0" collapsed="false">
      <c r="G205" s="0" t="n">
        <f aca="false">IF(D205="Mono&amp;Dual",MIN(E205,F205)*2,MIN(E205,F205))</f>
        <v>0</v>
      </c>
    </row>
    <row r="206" customFormat="false" ht="15" hidden="false" customHeight="false" outlineLevel="0" collapsed="false">
      <c r="G206" s="0" t="n">
        <f aca="false">IF(D206="Mono&amp;Dual",MIN(E206,F206)*2,MIN(E206,F206))</f>
        <v>0</v>
      </c>
    </row>
    <row r="207" customFormat="false" ht="15" hidden="false" customHeight="false" outlineLevel="0" collapsed="false">
      <c r="G207" s="0" t="n">
        <f aca="false">IF(D207="Mono&amp;Dual",MIN(E207,F207)*2,MIN(E207,F207))</f>
        <v>0</v>
      </c>
    </row>
    <row r="208" customFormat="false" ht="15" hidden="false" customHeight="false" outlineLevel="0" collapsed="false">
      <c r="G208" s="0" t="n">
        <f aca="false">IF(D208="Mono&amp;Dual",MIN(E208,F208)*2,MIN(E208,F208))</f>
        <v>0</v>
      </c>
    </row>
    <row r="209" customFormat="false" ht="15" hidden="false" customHeight="false" outlineLevel="0" collapsed="false">
      <c r="G209" s="0" t="n">
        <f aca="false">IF(D209="Mono&amp;Dual",MIN(E209,F209)*2,MIN(E209,F209))</f>
        <v>0</v>
      </c>
    </row>
    <row r="210" customFormat="false" ht="15" hidden="false" customHeight="false" outlineLevel="0" collapsed="false">
      <c r="G210" s="0" t="n">
        <f aca="false">IF(D210="Mono&amp;Dual",MIN(E210,F210)*2,MIN(E210,F210))</f>
        <v>0</v>
      </c>
    </row>
    <row r="211" customFormat="false" ht="15" hidden="false" customHeight="false" outlineLevel="0" collapsed="false">
      <c r="G211" s="0" t="n">
        <f aca="false">IF(D211="Mono&amp;Dual",MIN(E211,F211)*2,MIN(E211,F211))</f>
        <v>0</v>
      </c>
    </row>
    <row r="212" customFormat="false" ht="15" hidden="false" customHeight="false" outlineLevel="0" collapsed="false">
      <c r="G212" s="0" t="n">
        <f aca="false">IF(D212="Mono&amp;Dual",MIN(E212,F212)*2,MIN(E212,F212))</f>
        <v>0</v>
      </c>
    </row>
    <row r="213" customFormat="false" ht="15" hidden="false" customHeight="false" outlineLevel="0" collapsed="false">
      <c r="G213" s="0" t="n">
        <f aca="false">IF(D213="Mono&amp;Dual",MIN(E213,F213)*2,MIN(E213,F213))</f>
        <v>0</v>
      </c>
    </row>
    <row r="214" customFormat="false" ht="15" hidden="false" customHeight="false" outlineLevel="0" collapsed="false">
      <c r="G214" s="0" t="n">
        <f aca="false">IF(D214="Mono&amp;Dual",MIN(E214,F214)*2,MIN(E214,F214))</f>
        <v>0</v>
      </c>
    </row>
    <row r="215" customFormat="false" ht="15" hidden="false" customHeight="false" outlineLevel="0" collapsed="false">
      <c r="G215" s="0" t="n">
        <f aca="false">IF(D215="Mono&amp;Dual",MIN(E215,F215)*2,MIN(E215,F215))</f>
        <v>0</v>
      </c>
    </row>
    <row r="216" customFormat="false" ht="15" hidden="false" customHeight="false" outlineLevel="0" collapsed="false">
      <c r="G216" s="0" t="n">
        <f aca="false">IF(D216="Mono&amp;Dual",MIN(E216,F216)*2,MIN(E216,F216))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J3" activeCellId="0" sqref="J3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0.85"/>
    <col collapsed="false" customWidth="true" hidden="false" outlineLevel="0" max="3" min="3" style="0" width="14.57"/>
    <col collapsed="false" customWidth="true" hidden="false" outlineLevel="0" max="4" min="4" style="0" width="6.43"/>
    <col collapsed="false" customWidth="true" hidden="false" outlineLevel="0" max="5" min="5" style="0" width="12.29"/>
    <col collapsed="false" customWidth="true" hidden="false" outlineLevel="0" max="6" min="6" style="0" width="11"/>
    <col collapsed="false" customWidth="true" hidden="false" outlineLevel="0" max="7" min="7" style="0" width="16.29"/>
    <col collapsed="false" customWidth="true" hidden="false" outlineLevel="0" max="8" min="8" style="0" width="9"/>
    <col collapsed="false" customWidth="true" hidden="false" outlineLevel="0" max="10" min="10" style="0" width="10.71"/>
    <col collapsed="false" customWidth="true" hidden="false" outlineLevel="0" max="11" min="11" style="0" width="12.71"/>
    <col collapsed="false" customWidth="true" hidden="false" outlineLevel="0" max="12" min="12" style="0" width="15.29"/>
    <col collapsed="false" customWidth="true" hidden="false" outlineLevel="0" max="13" min="13" style="0" width="13.43"/>
  </cols>
  <sheetData>
    <row r="1" customFormat="false" ht="15" hidden="false" customHeight="false" outlineLevel="0" collapsed="false">
      <c r="A1" s="13" t="s">
        <v>1</v>
      </c>
      <c r="B1" s="14" t="s">
        <v>25</v>
      </c>
      <c r="C1" s="14" t="s">
        <v>26</v>
      </c>
      <c r="D1" s="14" t="s">
        <v>27</v>
      </c>
      <c r="E1" s="14" t="s">
        <v>28</v>
      </c>
      <c r="F1" s="15" t="s">
        <v>29</v>
      </c>
      <c r="G1" s="0" t="s">
        <v>30</v>
      </c>
    </row>
    <row r="2" customFormat="false" ht="15" hidden="false" customHeight="false" outlineLevel="0" collapsed="false">
      <c r="A2" s="16" t="n">
        <v>7</v>
      </c>
      <c r="B2" s="17" t="n">
        <v>5</v>
      </c>
      <c r="C2" s="17" t="s">
        <v>221</v>
      </c>
      <c r="D2" s="17" t="s">
        <v>32</v>
      </c>
      <c r="E2" s="17" t="n">
        <v>15000</v>
      </c>
      <c r="F2" s="18"/>
      <c r="G2" s="0" t="n">
        <f aca="false">IF(D2="Mono&amp;Dual",MIN(E2,F2)*2,MIN(E2,F2))</f>
        <v>15000</v>
      </c>
      <c r="J2" s="1" t="s">
        <v>0</v>
      </c>
      <c r="K2" s="1" t="s">
        <v>33</v>
      </c>
    </row>
    <row r="3" customFormat="false" ht="15" hidden="false" customHeight="false" outlineLevel="0" collapsed="false">
      <c r="A3" s="19" t="n">
        <v>7</v>
      </c>
      <c r="B3" s="20" t="n">
        <v>5</v>
      </c>
      <c r="C3" s="20" t="s">
        <v>217</v>
      </c>
      <c r="D3" s="20" t="s">
        <v>32</v>
      </c>
      <c r="E3" s="20" t="n">
        <v>15000</v>
      </c>
      <c r="F3" s="21"/>
      <c r="G3" s="0" t="n">
        <f aca="false">IF(D3="Mono&amp;Dual",MIN(E3,F3)*2,MIN(E3,F3))</f>
        <v>15000</v>
      </c>
      <c r="J3" s="1" t="n">
        <v>5</v>
      </c>
      <c r="K3" s="1" t="n">
        <f aca="false">SUMIFS(G:G,B:B,J3)/2</f>
        <v>37500</v>
      </c>
      <c r="L3" s="5"/>
      <c r="M3" s="5"/>
    </row>
    <row r="4" customFormat="false" ht="15" hidden="false" customHeight="false" outlineLevel="0" collapsed="false">
      <c r="A4" s="16" t="n">
        <v>7</v>
      </c>
      <c r="B4" s="17" t="n">
        <v>5</v>
      </c>
      <c r="C4" s="17" t="s">
        <v>218</v>
      </c>
      <c r="D4" s="17" t="s">
        <v>32</v>
      </c>
      <c r="E4" s="17" t="n">
        <v>15000</v>
      </c>
      <c r="F4" s="18"/>
      <c r="G4" s="0" t="n">
        <f aca="false">IF(D4="Mono&amp;Dual",MIN(E4,F4)*2,MIN(E4,F4))</f>
        <v>15000</v>
      </c>
      <c r="J4" s="1" t="n">
        <v>10</v>
      </c>
      <c r="K4" s="1" t="n">
        <f aca="false">SUMIFS(G:G,B:B,J4)/2</f>
        <v>75000</v>
      </c>
      <c r="L4" s="5"/>
      <c r="M4" s="5"/>
    </row>
    <row r="5" customFormat="false" ht="15" hidden="false" customHeight="false" outlineLevel="0" collapsed="false">
      <c r="A5" s="19" t="n">
        <v>7</v>
      </c>
      <c r="B5" s="20" t="n">
        <v>5</v>
      </c>
      <c r="C5" s="20" t="s">
        <v>219</v>
      </c>
      <c r="D5" s="20" t="s">
        <v>32</v>
      </c>
      <c r="E5" s="20" t="n">
        <v>15000</v>
      </c>
      <c r="F5" s="21"/>
      <c r="G5" s="0" t="n">
        <f aca="false">IF(D5="Mono&amp;Dual",MIN(E5,F5)*2,MIN(E5,F5))</f>
        <v>15000</v>
      </c>
      <c r="J5" s="1" t="n">
        <v>20</v>
      </c>
      <c r="K5" s="1" t="n">
        <f aca="false">SUMIFS(G:G,B:B,J5)/2</f>
        <v>44000</v>
      </c>
      <c r="L5" s="5"/>
      <c r="M5" s="5"/>
    </row>
    <row r="6" customFormat="false" ht="15" hidden="false" customHeight="false" outlineLevel="0" collapsed="false">
      <c r="A6" s="16" t="n">
        <v>7</v>
      </c>
      <c r="B6" s="17" t="n">
        <v>5</v>
      </c>
      <c r="C6" s="17" t="s">
        <v>220</v>
      </c>
      <c r="D6" s="17" t="s">
        <v>32</v>
      </c>
      <c r="E6" s="17" t="n">
        <v>15000</v>
      </c>
      <c r="F6" s="18"/>
      <c r="G6" s="0" t="n">
        <f aca="false">IF(D6="Mono&amp;Dual",MIN(E6,F6)*2,MIN(E6,F6))</f>
        <v>15000</v>
      </c>
      <c r="J6" s="1" t="n">
        <v>30</v>
      </c>
      <c r="K6" s="1" t="n">
        <f aca="false">SUMIFS(G:G,B:B,J6)/2</f>
        <v>75000</v>
      </c>
      <c r="L6" s="5"/>
      <c r="M6" s="5"/>
    </row>
    <row r="7" customFormat="false" ht="15" hidden="false" customHeight="false" outlineLevel="0" collapsed="false">
      <c r="A7" s="19" t="n">
        <v>7</v>
      </c>
      <c r="B7" s="20" t="n">
        <v>10</v>
      </c>
      <c r="C7" s="20" t="s">
        <v>225</v>
      </c>
      <c r="D7" s="20" t="s">
        <v>32</v>
      </c>
      <c r="E7" s="20" t="n">
        <v>15000</v>
      </c>
      <c r="F7" s="21"/>
      <c r="G7" s="0" t="n">
        <f aca="false">IF(D7="Mono&amp;Dual",MIN(E7,F7)*2,MIN(E7,F7))</f>
        <v>15000</v>
      </c>
      <c r="J7" s="1" t="n">
        <v>50</v>
      </c>
      <c r="K7" s="1" t="n">
        <f aca="false">SUMIFS(G:G,B:B,J7)/2</f>
        <v>100000</v>
      </c>
      <c r="L7" s="5"/>
      <c r="M7" s="5"/>
    </row>
    <row r="8" customFormat="false" ht="15" hidden="false" customHeight="false" outlineLevel="0" collapsed="false">
      <c r="A8" s="16" t="n">
        <v>7</v>
      </c>
      <c r="B8" s="17" t="n">
        <v>10</v>
      </c>
      <c r="C8" s="17" t="s">
        <v>226</v>
      </c>
      <c r="D8" s="17" t="s">
        <v>32</v>
      </c>
      <c r="E8" s="17" t="n">
        <v>15000</v>
      </c>
      <c r="F8" s="18"/>
      <c r="G8" s="0" t="n">
        <f aca="false">IF(D8="Mono&amp;Dual",MIN(E8,F8)*2,MIN(E8,F8))</f>
        <v>15000</v>
      </c>
      <c r="J8" s="1" t="n">
        <v>100</v>
      </c>
      <c r="K8" s="1" t="n">
        <f aca="false">SUMIFS(G:G,B:B,J8)/2</f>
        <v>150000</v>
      </c>
      <c r="L8" s="5"/>
      <c r="M8" s="5"/>
    </row>
    <row r="9" customFormat="false" ht="15" hidden="false" customHeight="false" outlineLevel="0" collapsed="false">
      <c r="A9" s="19" t="n">
        <v>7</v>
      </c>
      <c r="B9" s="20" t="n">
        <v>10</v>
      </c>
      <c r="C9" s="20" t="s">
        <v>227</v>
      </c>
      <c r="D9" s="20" t="s">
        <v>32</v>
      </c>
      <c r="E9" s="20" t="n">
        <v>15000</v>
      </c>
      <c r="F9" s="21"/>
      <c r="G9" s="0" t="n">
        <f aca="false">IF(D9="Mono&amp;Dual",MIN(E9,F9)*2,MIN(E9,F9))</f>
        <v>15000</v>
      </c>
      <c r="J9" s="5"/>
      <c r="K9" s="5"/>
      <c r="L9" s="5"/>
      <c r="M9" s="5"/>
    </row>
    <row r="10" customFormat="false" ht="15" hidden="false" customHeight="false" outlineLevel="0" collapsed="false">
      <c r="A10" s="16" t="n">
        <v>7</v>
      </c>
      <c r="B10" s="17" t="n">
        <v>10</v>
      </c>
      <c r="C10" s="17" t="s">
        <v>228</v>
      </c>
      <c r="D10" s="17" t="s">
        <v>32</v>
      </c>
      <c r="E10" s="17" t="n">
        <v>15000</v>
      </c>
      <c r="F10" s="18"/>
      <c r="G10" s="0" t="n">
        <f aca="false">IF(D10="Mono&amp;Dual",MIN(E10,F10)*2,MIN(E10,F10))</f>
        <v>15000</v>
      </c>
    </row>
    <row r="11" customFormat="false" ht="15" hidden="false" customHeight="false" outlineLevel="0" collapsed="false">
      <c r="A11" s="19" t="n">
        <v>7</v>
      </c>
      <c r="B11" s="20" t="n">
        <v>10</v>
      </c>
      <c r="C11" s="20" t="s">
        <v>217</v>
      </c>
      <c r="D11" s="20" t="s">
        <v>32</v>
      </c>
      <c r="E11" s="20" t="n">
        <v>15000</v>
      </c>
      <c r="F11" s="21"/>
      <c r="G11" s="0" t="n">
        <f aca="false">IF(D11="Mono&amp;Dual",MIN(E11,F11)*2,MIN(E11,F11))</f>
        <v>15000</v>
      </c>
    </row>
    <row r="12" customFormat="false" ht="15" hidden="false" customHeight="false" outlineLevel="0" collapsed="false">
      <c r="A12" s="16" t="n">
        <v>7</v>
      </c>
      <c r="B12" s="17" t="n">
        <v>10</v>
      </c>
      <c r="C12" s="17" t="s">
        <v>218</v>
      </c>
      <c r="D12" s="17" t="s">
        <v>32</v>
      </c>
      <c r="E12" s="17" t="n">
        <v>15000</v>
      </c>
      <c r="F12" s="18"/>
      <c r="G12" s="0" t="n">
        <f aca="false">IF(D12="Mono&amp;Dual",MIN(E12,F12)*2,MIN(E12,F12))</f>
        <v>15000</v>
      </c>
    </row>
    <row r="13" customFormat="false" ht="15" hidden="false" customHeight="false" outlineLevel="0" collapsed="false">
      <c r="A13" s="19" t="n">
        <v>7</v>
      </c>
      <c r="B13" s="20" t="n">
        <v>10</v>
      </c>
      <c r="C13" s="20" t="s">
        <v>219</v>
      </c>
      <c r="D13" s="20" t="s">
        <v>32</v>
      </c>
      <c r="E13" s="20" t="n">
        <v>15000</v>
      </c>
      <c r="F13" s="21"/>
      <c r="G13" s="0" t="n">
        <f aca="false">IF(D13="Mono&amp;Dual",MIN(E13,F13)*2,MIN(E13,F13))</f>
        <v>15000</v>
      </c>
    </row>
    <row r="14" customFormat="false" ht="15" hidden="false" customHeight="false" outlineLevel="0" collapsed="false">
      <c r="A14" s="16" t="n">
        <v>7</v>
      </c>
      <c r="B14" s="17" t="n">
        <v>10</v>
      </c>
      <c r="C14" s="17" t="s">
        <v>220</v>
      </c>
      <c r="D14" s="17" t="s">
        <v>32</v>
      </c>
      <c r="E14" s="17" t="n">
        <v>15000</v>
      </c>
      <c r="F14" s="18"/>
      <c r="G14" s="0" t="n">
        <f aca="false">IF(D14="Mono&amp;Dual",MIN(E14,F14)*2,MIN(E14,F14))</f>
        <v>15000</v>
      </c>
    </row>
    <row r="15" customFormat="false" ht="15" hidden="false" customHeight="false" outlineLevel="0" collapsed="false">
      <c r="A15" s="19" t="n">
        <v>7</v>
      </c>
      <c r="B15" s="20" t="n">
        <v>10</v>
      </c>
      <c r="C15" s="20" t="s">
        <v>221</v>
      </c>
      <c r="D15" s="20" t="s">
        <v>32</v>
      </c>
      <c r="E15" s="20" t="n">
        <v>15000</v>
      </c>
      <c r="F15" s="21"/>
      <c r="G15" s="0" t="n">
        <f aca="false">IF(D15="Mono&amp;Dual",MIN(E15,F15)*2,MIN(E15,F15))</f>
        <v>15000</v>
      </c>
    </row>
    <row r="16" customFormat="false" ht="15" hidden="false" customHeight="false" outlineLevel="0" collapsed="false">
      <c r="A16" s="16" t="n">
        <v>7</v>
      </c>
      <c r="B16" s="17" t="n">
        <v>10</v>
      </c>
      <c r="C16" s="17" t="s">
        <v>222</v>
      </c>
      <c r="D16" s="17" t="s">
        <v>32</v>
      </c>
      <c r="E16" s="17" t="n">
        <v>15000</v>
      </c>
      <c r="F16" s="18"/>
      <c r="G16" s="0" t="n">
        <f aca="false">IF(D16="Mono&amp;Dual",MIN(E16,F16)*2,MIN(E16,F16))</f>
        <v>15000</v>
      </c>
    </row>
    <row r="17" customFormat="false" ht="15" hidden="false" customHeight="false" outlineLevel="0" collapsed="false">
      <c r="A17" s="19" t="n">
        <v>7</v>
      </c>
      <c r="B17" s="20" t="n">
        <v>20</v>
      </c>
      <c r="C17" s="20" t="s">
        <v>251</v>
      </c>
      <c r="D17" s="20" t="s">
        <v>32</v>
      </c>
      <c r="E17" s="20" t="n">
        <v>2000</v>
      </c>
      <c r="F17" s="21"/>
      <c r="G17" s="0" t="n">
        <f aca="false">IF(D17="Mono&amp;Dual",MIN(E17,F17)*2,MIN(E17,F17))</f>
        <v>2000</v>
      </c>
    </row>
    <row r="18" customFormat="false" ht="15" hidden="false" customHeight="false" outlineLevel="0" collapsed="false">
      <c r="A18" s="16" t="n">
        <v>7</v>
      </c>
      <c r="B18" s="17" t="n">
        <v>20</v>
      </c>
      <c r="C18" s="17" t="s">
        <v>252</v>
      </c>
      <c r="D18" s="17" t="s">
        <v>32</v>
      </c>
      <c r="E18" s="17" t="n">
        <v>2000</v>
      </c>
      <c r="F18" s="18"/>
      <c r="G18" s="0" t="n">
        <f aca="false">IF(D18="Mono&amp;Dual",MIN(E18,F18)*2,MIN(E18,F18))</f>
        <v>2000</v>
      </c>
    </row>
    <row r="19" customFormat="false" ht="15" hidden="false" customHeight="false" outlineLevel="0" collapsed="false">
      <c r="A19" s="19" t="n">
        <v>7</v>
      </c>
      <c r="B19" s="20" t="n">
        <v>20</v>
      </c>
      <c r="C19" s="20" t="s">
        <v>253</v>
      </c>
      <c r="D19" s="20" t="s">
        <v>32</v>
      </c>
      <c r="E19" s="20" t="n">
        <v>2000</v>
      </c>
      <c r="F19" s="21"/>
      <c r="G19" s="0" t="n">
        <f aca="false">IF(D19="Mono&amp;Dual",MIN(E19,F19)*2,MIN(E19,F19))</f>
        <v>2000</v>
      </c>
    </row>
    <row r="20" customFormat="false" ht="15" hidden="false" customHeight="false" outlineLevel="0" collapsed="false">
      <c r="A20" s="16" t="n">
        <v>7</v>
      </c>
      <c r="B20" s="17" t="n">
        <v>20</v>
      </c>
      <c r="C20" s="17" t="s">
        <v>254</v>
      </c>
      <c r="D20" s="17" t="s">
        <v>32</v>
      </c>
      <c r="E20" s="17" t="n">
        <v>2000</v>
      </c>
      <c r="F20" s="18"/>
      <c r="G20" s="0" t="n">
        <f aca="false">IF(D20="Mono&amp;Dual",MIN(E20,F20)*2,MIN(E20,F20))</f>
        <v>2000</v>
      </c>
    </row>
    <row r="21" customFormat="false" ht="15" hidden="false" customHeight="false" outlineLevel="0" collapsed="false">
      <c r="A21" s="19" t="n">
        <v>7</v>
      </c>
      <c r="B21" s="20" t="n">
        <v>20</v>
      </c>
      <c r="C21" s="20" t="s">
        <v>217</v>
      </c>
      <c r="D21" s="20" t="s">
        <v>32</v>
      </c>
      <c r="E21" s="20" t="n">
        <v>5000</v>
      </c>
      <c r="F21" s="21"/>
      <c r="G21" s="0" t="n">
        <f aca="false">IF(D21="Mono&amp;Dual",MIN(E21,F21)*2,MIN(E21,F21))</f>
        <v>5000</v>
      </c>
    </row>
    <row r="22" customFormat="false" ht="15" hidden="false" customHeight="false" outlineLevel="0" collapsed="false">
      <c r="A22" s="16" t="n">
        <v>7</v>
      </c>
      <c r="B22" s="17" t="n">
        <v>20</v>
      </c>
      <c r="C22" s="17" t="s">
        <v>218</v>
      </c>
      <c r="D22" s="17" t="s">
        <v>32</v>
      </c>
      <c r="E22" s="17" t="n">
        <v>5000</v>
      </c>
      <c r="F22" s="18"/>
      <c r="G22" s="0" t="n">
        <f aca="false">IF(D22="Mono&amp;Dual",MIN(E22,F22)*2,MIN(E22,F22))</f>
        <v>5000</v>
      </c>
    </row>
    <row r="23" customFormat="false" ht="15" hidden="false" customHeight="false" outlineLevel="0" collapsed="false">
      <c r="A23" s="19" t="n">
        <v>7</v>
      </c>
      <c r="B23" s="20" t="n">
        <v>20</v>
      </c>
      <c r="C23" s="20" t="s">
        <v>219</v>
      </c>
      <c r="D23" s="20" t="s">
        <v>32</v>
      </c>
      <c r="E23" s="20" t="n">
        <v>5000</v>
      </c>
      <c r="F23" s="21"/>
      <c r="G23" s="0" t="n">
        <f aca="false">IF(D23="Mono&amp;Dual",MIN(E23,F23)*2,MIN(E23,F23))</f>
        <v>5000</v>
      </c>
    </row>
    <row r="24" customFormat="false" ht="15" hidden="false" customHeight="false" outlineLevel="0" collapsed="false">
      <c r="A24" s="16" t="n">
        <v>7</v>
      </c>
      <c r="B24" s="17" t="n">
        <v>20</v>
      </c>
      <c r="C24" s="17" t="s">
        <v>220</v>
      </c>
      <c r="D24" s="17" t="s">
        <v>32</v>
      </c>
      <c r="E24" s="17" t="n">
        <v>5000</v>
      </c>
      <c r="F24" s="18"/>
      <c r="G24" s="0" t="n">
        <f aca="false">IF(D24="Mono&amp;Dual",MIN(E24,F24)*2,MIN(E24,F24))</f>
        <v>5000</v>
      </c>
    </row>
    <row r="25" customFormat="false" ht="15" hidden="false" customHeight="false" outlineLevel="0" collapsed="false">
      <c r="A25" s="19" t="n">
        <v>7</v>
      </c>
      <c r="B25" s="20" t="n">
        <v>20</v>
      </c>
      <c r="C25" s="20" t="s">
        <v>221</v>
      </c>
      <c r="D25" s="20" t="s">
        <v>32</v>
      </c>
      <c r="E25" s="20" t="n">
        <v>5000</v>
      </c>
      <c r="F25" s="21"/>
      <c r="G25" s="0" t="n">
        <f aca="false">IF(D25="Mono&amp;Dual",MIN(E25,F25)*2,MIN(E25,F25))</f>
        <v>5000</v>
      </c>
    </row>
    <row r="26" customFormat="false" ht="15" hidden="false" customHeight="false" outlineLevel="0" collapsed="false">
      <c r="A26" s="16" t="n">
        <v>7</v>
      </c>
      <c r="B26" s="17" t="n">
        <v>20</v>
      </c>
      <c r="C26" s="17" t="s">
        <v>222</v>
      </c>
      <c r="D26" s="17" t="s">
        <v>32</v>
      </c>
      <c r="E26" s="17" t="n">
        <v>5000</v>
      </c>
      <c r="F26" s="18"/>
      <c r="G26" s="0" t="n">
        <f aca="false">IF(D26="Mono&amp;Dual",MIN(E26,F26)*2,MIN(E26,F26))</f>
        <v>5000</v>
      </c>
    </row>
    <row r="27" customFormat="false" ht="15" hidden="false" customHeight="false" outlineLevel="0" collapsed="false">
      <c r="A27" s="19" t="n">
        <v>7</v>
      </c>
      <c r="B27" s="20" t="n">
        <v>20</v>
      </c>
      <c r="C27" s="20" t="s">
        <v>225</v>
      </c>
      <c r="D27" s="20" t="s">
        <v>32</v>
      </c>
      <c r="E27" s="20" t="n">
        <v>5000</v>
      </c>
      <c r="F27" s="21"/>
      <c r="G27" s="0" t="n">
        <f aca="false">IF(D27="Mono&amp;Dual",MIN(E27,F27)*2,MIN(E27,F27))</f>
        <v>5000</v>
      </c>
    </row>
    <row r="28" customFormat="false" ht="15" hidden="false" customHeight="false" outlineLevel="0" collapsed="false">
      <c r="A28" s="16" t="n">
        <v>7</v>
      </c>
      <c r="B28" s="17" t="n">
        <v>20</v>
      </c>
      <c r="C28" s="17" t="s">
        <v>226</v>
      </c>
      <c r="D28" s="17" t="s">
        <v>32</v>
      </c>
      <c r="E28" s="17" t="n">
        <v>5000</v>
      </c>
      <c r="F28" s="18"/>
      <c r="G28" s="0" t="n">
        <f aca="false">IF(D28="Mono&amp;Dual",MIN(E28,F28)*2,MIN(E28,F28))</f>
        <v>5000</v>
      </c>
    </row>
    <row r="29" customFormat="false" ht="15" hidden="false" customHeight="false" outlineLevel="0" collapsed="false">
      <c r="A29" s="19" t="n">
        <v>7</v>
      </c>
      <c r="B29" s="20" t="n">
        <v>20</v>
      </c>
      <c r="C29" s="20" t="s">
        <v>227</v>
      </c>
      <c r="D29" s="20" t="s">
        <v>32</v>
      </c>
      <c r="E29" s="20" t="n">
        <v>5000</v>
      </c>
      <c r="F29" s="21"/>
      <c r="G29" s="0" t="n">
        <f aca="false">IF(D29="Mono&amp;Dual",MIN(E29,F29)*2,MIN(E29,F29))</f>
        <v>5000</v>
      </c>
    </row>
    <row r="30" customFormat="false" ht="15" hidden="false" customHeight="false" outlineLevel="0" collapsed="false">
      <c r="A30" s="16" t="n">
        <v>7</v>
      </c>
      <c r="B30" s="17" t="n">
        <v>20</v>
      </c>
      <c r="C30" s="17" t="s">
        <v>228</v>
      </c>
      <c r="D30" s="17" t="s">
        <v>32</v>
      </c>
      <c r="E30" s="17" t="n">
        <v>5000</v>
      </c>
      <c r="F30" s="18"/>
      <c r="G30" s="0" t="n">
        <f aca="false">IF(D30="Mono&amp;Dual",MIN(E30,F30)*2,MIN(E30,F30))</f>
        <v>5000</v>
      </c>
    </row>
    <row r="31" customFormat="false" ht="15" hidden="false" customHeight="false" outlineLevel="0" collapsed="false">
      <c r="A31" s="19" t="n">
        <v>7</v>
      </c>
      <c r="B31" s="20" t="n">
        <v>20</v>
      </c>
      <c r="C31" s="20" t="s">
        <v>229</v>
      </c>
      <c r="D31" s="20" t="s">
        <v>32</v>
      </c>
      <c r="E31" s="20" t="n">
        <v>5000</v>
      </c>
      <c r="F31" s="21"/>
      <c r="G31" s="0" t="n">
        <f aca="false">IF(D31="Mono&amp;Dual",MIN(E31,F31)*2,MIN(E31,F31))</f>
        <v>5000</v>
      </c>
    </row>
    <row r="32" customFormat="false" ht="15" hidden="false" customHeight="false" outlineLevel="0" collapsed="false">
      <c r="A32" s="16" t="n">
        <v>7</v>
      </c>
      <c r="B32" s="17" t="n">
        <v>20</v>
      </c>
      <c r="C32" s="17" t="s">
        <v>230</v>
      </c>
      <c r="D32" s="17" t="s">
        <v>32</v>
      </c>
      <c r="E32" s="17" t="n">
        <v>5000</v>
      </c>
      <c r="F32" s="18"/>
      <c r="G32" s="0" t="n">
        <f aca="false">IF(D32="Mono&amp;Dual",MIN(E32,F32)*2,MIN(E32,F32))</f>
        <v>5000</v>
      </c>
    </row>
    <row r="33" customFormat="false" ht="15" hidden="false" customHeight="false" outlineLevel="0" collapsed="false">
      <c r="A33" s="19" t="n">
        <v>7</v>
      </c>
      <c r="B33" s="20" t="n">
        <v>20</v>
      </c>
      <c r="C33" s="20" t="s">
        <v>247</v>
      </c>
      <c r="D33" s="20" t="s">
        <v>32</v>
      </c>
      <c r="E33" s="20" t="n">
        <v>5000</v>
      </c>
      <c r="F33" s="21"/>
      <c r="G33" s="0" t="n">
        <f aca="false">IF(D33="Mono&amp;Dual",MIN(E33,F33)*2,MIN(E33,F33))</f>
        <v>5000</v>
      </c>
    </row>
    <row r="34" customFormat="false" ht="15" hidden="false" customHeight="false" outlineLevel="0" collapsed="false">
      <c r="A34" s="16" t="n">
        <v>7</v>
      </c>
      <c r="B34" s="17" t="n">
        <v>20</v>
      </c>
      <c r="C34" s="17" t="s">
        <v>248</v>
      </c>
      <c r="D34" s="17" t="s">
        <v>32</v>
      </c>
      <c r="E34" s="17" t="n">
        <v>5000</v>
      </c>
      <c r="F34" s="18"/>
      <c r="G34" s="0" t="n">
        <f aca="false">IF(D34="Mono&amp;Dual",MIN(E34,F34)*2,MIN(E34,F34))</f>
        <v>5000</v>
      </c>
    </row>
    <row r="35" customFormat="false" ht="15" hidden="false" customHeight="false" outlineLevel="0" collapsed="false">
      <c r="A35" s="19" t="n">
        <v>7</v>
      </c>
      <c r="B35" s="20" t="n">
        <v>20</v>
      </c>
      <c r="C35" s="20" t="s">
        <v>249</v>
      </c>
      <c r="D35" s="20" t="s">
        <v>32</v>
      </c>
      <c r="E35" s="20" t="n">
        <v>5000</v>
      </c>
      <c r="F35" s="21"/>
      <c r="G35" s="0" t="n">
        <f aca="false">IF(D35="Mono&amp;Dual",MIN(E35,F35)*2,MIN(E35,F35))</f>
        <v>5000</v>
      </c>
    </row>
    <row r="36" customFormat="false" ht="15" hidden="false" customHeight="false" outlineLevel="0" collapsed="false">
      <c r="A36" s="16" t="n">
        <v>7</v>
      </c>
      <c r="B36" s="17" t="n">
        <v>20</v>
      </c>
      <c r="C36" s="17" t="s">
        <v>250</v>
      </c>
      <c r="D36" s="17" t="s">
        <v>32</v>
      </c>
      <c r="E36" s="17" t="n">
        <v>5000</v>
      </c>
      <c r="F36" s="18"/>
      <c r="G36" s="0" t="n">
        <f aca="false">IF(D36="Mono&amp;Dual",MIN(E36,F36)*2,MIN(E36,F36))</f>
        <v>5000</v>
      </c>
    </row>
    <row r="37" customFormat="false" ht="15" hidden="false" customHeight="false" outlineLevel="0" collapsed="false">
      <c r="A37" s="19" t="n">
        <v>7</v>
      </c>
      <c r="B37" s="20" t="n">
        <v>30</v>
      </c>
      <c r="C37" s="20" t="s">
        <v>255</v>
      </c>
      <c r="D37" s="20" t="s">
        <v>32</v>
      </c>
      <c r="E37" s="20" t="n">
        <v>5000</v>
      </c>
      <c r="F37" s="21"/>
      <c r="G37" s="0" t="n">
        <f aca="false">IF(D37="Mono&amp;Dual",MIN(E37,F37)*2,MIN(E37,F37))</f>
        <v>5000</v>
      </c>
    </row>
    <row r="38" customFormat="false" ht="15" hidden="false" customHeight="false" outlineLevel="0" collapsed="false">
      <c r="A38" s="16" t="n">
        <v>7</v>
      </c>
      <c r="B38" s="17" t="n">
        <v>30</v>
      </c>
      <c r="C38" s="17" t="s">
        <v>256</v>
      </c>
      <c r="D38" s="17" t="s">
        <v>32</v>
      </c>
      <c r="E38" s="17" t="n">
        <v>5000</v>
      </c>
      <c r="F38" s="18"/>
      <c r="G38" s="0" t="n">
        <f aca="false">IF(D38="Mono&amp;Dual",MIN(E38,F38)*2,MIN(E38,F38))</f>
        <v>5000</v>
      </c>
    </row>
    <row r="39" customFormat="false" ht="15" hidden="false" customHeight="false" outlineLevel="0" collapsed="false">
      <c r="A39" s="19" t="n">
        <v>7</v>
      </c>
      <c r="B39" s="20" t="n">
        <v>30</v>
      </c>
      <c r="C39" s="20" t="s">
        <v>257</v>
      </c>
      <c r="D39" s="20" t="s">
        <v>32</v>
      </c>
      <c r="E39" s="20" t="n">
        <v>5000</v>
      </c>
      <c r="F39" s="21"/>
      <c r="G39" s="0" t="n">
        <f aca="false">IF(D39="Mono&amp;Dual",MIN(E39,F39)*2,MIN(E39,F39))</f>
        <v>5000</v>
      </c>
    </row>
    <row r="40" customFormat="false" ht="15" hidden="false" customHeight="false" outlineLevel="0" collapsed="false">
      <c r="A40" s="16" t="n">
        <v>7</v>
      </c>
      <c r="B40" s="17" t="n">
        <v>30</v>
      </c>
      <c r="C40" s="17" t="s">
        <v>258</v>
      </c>
      <c r="D40" s="17" t="s">
        <v>32</v>
      </c>
      <c r="E40" s="17" t="n">
        <v>5000</v>
      </c>
      <c r="F40" s="18"/>
      <c r="G40" s="0" t="n">
        <f aca="false">IF(D40="Mono&amp;Dual",MIN(E40,F40)*2,MIN(E40,F40))</f>
        <v>5000</v>
      </c>
    </row>
    <row r="41" customFormat="false" ht="15" hidden="false" customHeight="false" outlineLevel="0" collapsed="false">
      <c r="A41" s="19" t="n">
        <v>7</v>
      </c>
      <c r="B41" s="20" t="n">
        <v>30</v>
      </c>
      <c r="C41" s="20" t="s">
        <v>259</v>
      </c>
      <c r="D41" s="20" t="s">
        <v>32</v>
      </c>
      <c r="E41" s="20" t="n">
        <v>5000</v>
      </c>
      <c r="F41" s="21"/>
      <c r="G41" s="0" t="n">
        <f aca="false">IF(D41="Mono&amp;Dual",MIN(E41,F41)*2,MIN(E41,F41))</f>
        <v>5000</v>
      </c>
    </row>
    <row r="42" customFormat="false" ht="15" hidden="false" customHeight="false" outlineLevel="0" collapsed="false">
      <c r="A42" s="16" t="n">
        <v>7</v>
      </c>
      <c r="B42" s="17" t="n">
        <v>30</v>
      </c>
      <c r="C42" s="17" t="s">
        <v>260</v>
      </c>
      <c r="D42" s="17" t="s">
        <v>32</v>
      </c>
      <c r="E42" s="17" t="n">
        <v>5000</v>
      </c>
      <c r="F42" s="18"/>
      <c r="G42" s="0" t="n">
        <f aca="false">IF(D42="Mono&amp;Dual",MIN(E42,F42)*2,MIN(E42,F42))</f>
        <v>5000</v>
      </c>
    </row>
    <row r="43" customFormat="false" ht="15" hidden="false" customHeight="false" outlineLevel="0" collapsed="false">
      <c r="A43" s="19" t="n">
        <v>7</v>
      </c>
      <c r="B43" s="20" t="n">
        <v>30</v>
      </c>
      <c r="C43" s="20" t="s">
        <v>261</v>
      </c>
      <c r="D43" s="20" t="s">
        <v>32</v>
      </c>
      <c r="E43" s="20" t="n">
        <v>5000</v>
      </c>
      <c r="F43" s="21"/>
      <c r="G43" s="0" t="n">
        <f aca="false">IF(D43="Mono&amp;Dual",MIN(E43,F43)*2,MIN(E43,F43))</f>
        <v>5000</v>
      </c>
    </row>
    <row r="44" customFormat="false" ht="15" hidden="false" customHeight="false" outlineLevel="0" collapsed="false">
      <c r="A44" s="16" t="n">
        <v>7</v>
      </c>
      <c r="B44" s="17" t="n">
        <v>30</v>
      </c>
      <c r="C44" s="17" t="s">
        <v>262</v>
      </c>
      <c r="D44" s="17" t="s">
        <v>32</v>
      </c>
      <c r="E44" s="17" t="n">
        <v>5000</v>
      </c>
      <c r="F44" s="18"/>
      <c r="G44" s="0" t="n">
        <f aca="false">IF(D44="Mono&amp;Dual",MIN(E44,F44)*2,MIN(E44,F44))</f>
        <v>5000</v>
      </c>
    </row>
    <row r="45" customFormat="false" ht="15" hidden="false" customHeight="false" outlineLevel="0" collapsed="false">
      <c r="A45" s="19" t="n">
        <v>7</v>
      </c>
      <c r="B45" s="20" t="n">
        <v>30</v>
      </c>
      <c r="C45" s="20" t="s">
        <v>263</v>
      </c>
      <c r="D45" s="20" t="s">
        <v>32</v>
      </c>
      <c r="E45" s="20" t="n">
        <v>5000</v>
      </c>
      <c r="F45" s="21"/>
      <c r="G45" s="0" t="n">
        <f aca="false">IF(D45="Mono&amp;Dual",MIN(E45,F45)*2,MIN(E45,F45))</f>
        <v>5000</v>
      </c>
    </row>
    <row r="46" customFormat="false" ht="15" hidden="false" customHeight="false" outlineLevel="0" collapsed="false">
      <c r="A46" s="16" t="n">
        <v>7</v>
      </c>
      <c r="B46" s="17" t="n">
        <v>30</v>
      </c>
      <c r="C46" s="17" t="s">
        <v>264</v>
      </c>
      <c r="D46" s="17" t="s">
        <v>32</v>
      </c>
      <c r="E46" s="17" t="n">
        <v>5000</v>
      </c>
      <c r="F46" s="18"/>
      <c r="G46" s="0" t="n">
        <f aca="false">IF(D46="Mono&amp;Dual",MIN(E46,F46)*2,MIN(E46,F46))</f>
        <v>5000</v>
      </c>
    </row>
    <row r="47" customFormat="false" ht="15" hidden="false" customHeight="false" outlineLevel="0" collapsed="false">
      <c r="A47" s="19" t="n">
        <v>7</v>
      </c>
      <c r="B47" s="20" t="n">
        <v>30</v>
      </c>
      <c r="C47" s="20" t="s">
        <v>217</v>
      </c>
      <c r="D47" s="20" t="s">
        <v>32</v>
      </c>
      <c r="E47" s="20" t="n">
        <v>5000</v>
      </c>
      <c r="F47" s="21"/>
      <c r="G47" s="0" t="n">
        <f aca="false">IF(D47="Mono&amp;Dual",MIN(E47,F47)*2,MIN(E47,F47))</f>
        <v>5000</v>
      </c>
    </row>
    <row r="48" customFormat="false" ht="15" hidden="false" customHeight="false" outlineLevel="0" collapsed="false">
      <c r="A48" s="16" t="n">
        <v>7</v>
      </c>
      <c r="B48" s="17" t="n">
        <v>30</v>
      </c>
      <c r="C48" s="17" t="s">
        <v>218</v>
      </c>
      <c r="D48" s="17" t="s">
        <v>32</v>
      </c>
      <c r="E48" s="17" t="n">
        <v>5000</v>
      </c>
      <c r="F48" s="18"/>
      <c r="G48" s="0" t="n">
        <f aca="false">IF(D48="Mono&amp;Dual",MIN(E48,F48)*2,MIN(E48,F48))</f>
        <v>5000</v>
      </c>
    </row>
    <row r="49" customFormat="false" ht="15" hidden="false" customHeight="false" outlineLevel="0" collapsed="false">
      <c r="A49" s="19" t="n">
        <v>7</v>
      </c>
      <c r="B49" s="20" t="n">
        <v>30</v>
      </c>
      <c r="C49" s="20" t="s">
        <v>219</v>
      </c>
      <c r="D49" s="20" t="s">
        <v>32</v>
      </c>
      <c r="E49" s="20" t="n">
        <v>5000</v>
      </c>
      <c r="F49" s="21"/>
      <c r="G49" s="0" t="n">
        <f aca="false">IF(D49="Mono&amp;Dual",MIN(E49,F49)*2,MIN(E49,F49))</f>
        <v>5000</v>
      </c>
    </row>
    <row r="50" customFormat="false" ht="15" hidden="false" customHeight="false" outlineLevel="0" collapsed="false">
      <c r="A50" s="16" t="n">
        <v>7</v>
      </c>
      <c r="B50" s="17" t="n">
        <v>30</v>
      </c>
      <c r="C50" s="17" t="s">
        <v>220</v>
      </c>
      <c r="D50" s="17" t="s">
        <v>32</v>
      </c>
      <c r="E50" s="17" t="n">
        <v>5000</v>
      </c>
      <c r="F50" s="18"/>
      <c r="G50" s="0" t="n">
        <f aca="false">IF(D50="Mono&amp;Dual",MIN(E50,F50)*2,MIN(E50,F50))</f>
        <v>5000</v>
      </c>
    </row>
    <row r="51" customFormat="false" ht="15" hidden="false" customHeight="false" outlineLevel="0" collapsed="false">
      <c r="A51" s="19" t="n">
        <v>7</v>
      </c>
      <c r="B51" s="20" t="n">
        <v>30</v>
      </c>
      <c r="C51" s="20" t="s">
        <v>221</v>
      </c>
      <c r="D51" s="20" t="s">
        <v>32</v>
      </c>
      <c r="E51" s="20" t="n">
        <v>5000</v>
      </c>
      <c r="F51" s="21"/>
      <c r="G51" s="0" t="n">
        <f aca="false">IF(D51="Mono&amp;Dual",MIN(E51,F51)*2,MIN(E51,F51))</f>
        <v>5000</v>
      </c>
    </row>
    <row r="52" customFormat="false" ht="15" hidden="false" customHeight="false" outlineLevel="0" collapsed="false">
      <c r="A52" s="16" t="n">
        <v>7</v>
      </c>
      <c r="B52" s="17" t="n">
        <v>30</v>
      </c>
      <c r="C52" s="17" t="s">
        <v>222</v>
      </c>
      <c r="D52" s="17" t="s">
        <v>32</v>
      </c>
      <c r="E52" s="17" t="n">
        <v>5000</v>
      </c>
      <c r="F52" s="18"/>
      <c r="G52" s="0" t="n">
        <f aca="false">IF(D52="Mono&amp;Dual",MIN(E52,F52)*2,MIN(E52,F52))</f>
        <v>5000</v>
      </c>
    </row>
    <row r="53" customFormat="false" ht="15" hidden="false" customHeight="false" outlineLevel="0" collapsed="false">
      <c r="A53" s="19" t="n">
        <v>7</v>
      </c>
      <c r="B53" s="20" t="n">
        <v>30</v>
      </c>
      <c r="C53" s="20" t="s">
        <v>225</v>
      </c>
      <c r="D53" s="20" t="s">
        <v>32</v>
      </c>
      <c r="E53" s="20" t="n">
        <v>5000</v>
      </c>
      <c r="F53" s="21"/>
      <c r="G53" s="0" t="n">
        <f aca="false">IF(D53="Mono&amp;Dual",MIN(E53,F53)*2,MIN(E53,F53))</f>
        <v>5000</v>
      </c>
    </row>
    <row r="54" customFormat="false" ht="15" hidden="false" customHeight="false" outlineLevel="0" collapsed="false">
      <c r="A54" s="16" t="n">
        <v>7</v>
      </c>
      <c r="B54" s="17" t="n">
        <v>30</v>
      </c>
      <c r="C54" s="17" t="s">
        <v>226</v>
      </c>
      <c r="D54" s="17" t="s">
        <v>32</v>
      </c>
      <c r="E54" s="17" t="n">
        <v>5000</v>
      </c>
      <c r="F54" s="18"/>
      <c r="G54" s="0" t="n">
        <f aca="false">IF(D54="Mono&amp;Dual",MIN(E54,F54)*2,MIN(E54,F54))</f>
        <v>5000</v>
      </c>
    </row>
    <row r="55" customFormat="false" ht="15" hidden="false" customHeight="false" outlineLevel="0" collapsed="false">
      <c r="A55" s="19" t="n">
        <v>7</v>
      </c>
      <c r="B55" s="20" t="n">
        <v>30</v>
      </c>
      <c r="C55" s="20" t="s">
        <v>227</v>
      </c>
      <c r="D55" s="20" t="s">
        <v>32</v>
      </c>
      <c r="E55" s="20" t="n">
        <v>5000</v>
      </c>
      <c r="F55" s="21"/>
      <c r="G55" s="0" t="n">
        <f aca="false">IF(D55="Mono&amp;Dual",MIN(E55,F55)*2,MIN(E55,F55))</f>
        <v>5000</v>
      </c>
    </row>
    <row r="56" customFormat="false" ht="15" hidden="false" customHeight="false" outlineLevel="0" collapsed="false">
      <c r="A56" s="16" t="n">
        <v>7</v>
      </c>
      <c r="B56" s="17" t="n">
        <v>30</v>
      </c>
      <c r="C56" s="17" t="s">
        <v>228</v>
      </c>
      <c r="D56" s="17" t="s">
        <v>32</v>
      </c>
      <c r="E56" s="17" t="n">
        <v>5000</v>
      </c>
      <c r="F56" s="18"/>
      <c r="G56" s="0" t="n">
        <f aca="false">IF(D56="Mono&amp;Dual",MIN(E56,F56)*2,MIN(E56,F56))</f>
        <v>5000</v>
      </c>
    </row>
    <row r="57" customFormat="false" ht="15" hidden="false" customHeight="false" outlineLevel="0" collapsed="false">
      <c r="A57" s="19" t="n">
        <v>7</v>
      </c>
      <c r="B57" s="20" t="n">
        <v>30</v>
      </c>
      <c r="C57" s="20" t="s">
        <v>229</v>
      </c>
      <c r="D57" s="20" t="s">
        <v>32</v>
      </c>
      <c r="E57" s="20" t="n">
        <v>5000</v>
      </c>
      <c r="F57" s="21"/>
      <c r="G57" s="0" t="n">
        <f aca="false">IF(D57="Mono&amp;Dual",MIN(E57,F57)*2,MIN(E57,F57))</f>
        <v>5000</v>
      </c>
    </row>
    <row r="58" customFormat="false" ht="15" hidden="false" customHeight="false" outlineLevel="0" collapsed="false">
      <c r="A58" s="16" t="n">
        <v>7</v>
      </c>
      <c r="B58" s="17" t="n">
        <v>30</v>
      </c>
      <c r="C58" s="17" t="s">
        <v>230</v>
      </c>
      <c r="D58" s="17" t="s">
        <v>32</v>
      </c>
      <c r="E58" s="17" t="n">
        <v>5000</v>
      </c>
      <c r="F58" s="18"/>
      <c r="G58" s="0" t="n">
        <f aca="false">IF(D58="Mono&amp;Dual",MIN(E58,F58)*2,MIN(E58,F58))</f>
        <v>5000</v>
      </c>
    </row>
    <row r="59" customFormat="false" ht="15" hidden="false" customHeight="false" outlineLevel="0" collapsed="false">
      <c r="A59" s="19" t="n">
        <v>7</v>
      </c>
      <c r="B59" s="20" t="n">
        <v>30</v>
      </c>
      <c r="C59" s="20" t="s">
        <v>247</v>
      </c>
      <c r="D59" s="20" t="s">
        <v>32</v>
      </c>
      <c r="E59" s="20" t="n">
        <v>5000</v>
      </c>
      <c r="F59" s="21"/>
      <c r="G59" s="0" t="n">
        <f aca="false">IF(D59="Mono&amp;Dual",MIN(E59,F59)*2,MIN(E59,F59))</f>
        <v>5000</v>
      </c>
    </row>
    <row r="60" customFormat="false" ht="15" hidden="false" customHeight="false" outlineLevel="0" collapsed="false">
      <c r="A60" s="16" t="n">
        <v>7</v>
      </c>
      <c r="B60" s="17" t="n">
        <v>30</v>
      </c>
      <c r="C60" s="17" t="s">
        <v>248</v>
      </c>
      <c r="D60" s="17" t="s">
        <v>32</v>
      </c>
      <c r="E60" s="17" t="n">
        <v>5000</v>
      </c>
      <c r="F60" s="18"/>
      <c r="G60" s="0" t="n">
        <f aca="false">IF(D60="Mono&amp;Dual",MIN(E60,F60)*2,MIN(E60,F60))</f>
        <v>5000</v>
      </c>
    </row>
    <row r="61" customFormat="false" ht="15" hidden="false" customHeight="false" outlineLevel="0" collapsed="false">
      <c r="A61" s="19" t="n">
        <v>7</v>
      </c>
      <c r="B61" s="20" t="n">
        <v>30</v>
      </c>
      <c r="C61" s="20" t="s">
        <v>249</v>
      </c>
      <c r="D61" s="20" t="s">
        <v>32</v>
      </c>
      <c r="E61" s="20" t="n">
        <v>5000</v>
      </c>
      <c r="F61" s="21"/>
      <c r="G61" s="0" t="n">
        <f aca="false">IF(D61="Mono&amp;Dual",MIN(E61,F61)*2,MIN(E61,F61))</f>
        <v>5000</v>
      </c>
    </row>
    <row r="62" customFormat="false" ht="15" hidden="false" customHeight="false" outlineLevel="0" collapsed="false">
      <c r="A62" s="16" t="n">
        <v>7</v>
      </c>
      <c r="B62" s="17" t="n">
        <v>30</v>
      </c>
      <c r="C62" s="17" t="s">
        <v>250</v>
      </c>
      <c r="D62" s="17" t="s">
        <v>32</v>
      </c>
      <c r="E62" s="17" t="n">
        <v>5000</v>
      </c>
      <c r="F62" s="18"/>
      <c r="G62" s="0" t="n">
        <f aca="false">IF(D62="Mono&amp;Dual",MIN(E62,F62)*2,MIN(E62,F62))</f>
        <v>5000</v>
      </c>
    </row>
    <row r="63" customFormat="false" ht="15" hidden="false" customHeight="false" outlineLevel="0" collapsed="false">
      <c r="A63" s="19" t="n">
        <v>7</v>
      </c>
      <c r="B63" s="20" t="n">
        <v>30</v>
      </c>
      <c r="C63" s="20" t="s">
        <v>251</v>
      </c>
      <c r="D63" s="20" t="s">
        <v>32</v>
      </c>
      <c r="E63" s="20" t="n">
        <v>5000</v>
      </c>
      <c r="F63" s="21"/>
      <c r="G63" s="0" t="n">
        <f aca="false">IF(D63="Mono&amp;Dual",MIN(E63,F63)*2,MIN(E63,F63))</f>
        <v>5000</v>
      </c>
    </row>
    <row r="64" customFormat="false" ht="15" hidden="false" customHeight="false" outlineLevel="0" collapsed="false">
      <c r="A64" s="16" t="n">
        <v>7</v>
      </c>
      <c r="B64" s="17" t="n">
        <v>30</v>
      </c>
      <c r="C64" s="17" t="s">
        <v>252</v>
      </c>
      <c r="D64" s="17" t="s">
        <v>32</v>
      </c>
      <c r="E64" s="17" t="n">
        <v>5000</v>
      </c>
      <c r="F64" s="18"/>
      <c r="G64" s="0" t="n">
        <f aca="false">IF(D64="Mono&amp;Dual",MIN(E64,F64)*2,MIN(E64,F64))</f>
        <v>5000</v>
      </c>
    </row>
    <row r="65" customFormat="false" ht="15" hidden="false" customHeight="false" outlineLevel="0" collapsed="false">
      <c r="A65" s="19" t="n">
        <v>7</v>
      </c>
      <c r="B65" s="20" t="n">
        <v>30</v>
      </c>
      <c r="C65" s="20" t="s">
        <v>253</v>
      </c>
      <c r="D65" s="20" t="s">
        <v>32</v>
      </c>
      <c r="E65" s="20" t="n">
        <v>5000</v>
      </c>
      <c r="F65" s="21"/>
      <c r="G65" s="0" t="n">
        <f aca="false">IF(D65="Mono&amp;Dual",MIN(E65,F65)*2,MIN(E65,F65))</f>
        <v>5000</v>
      </c>
    </row>
    <row r="66" customFormat="false" ht="15" hidden="false" customHeight="false" outlineLevel="0" collapsed="false">
      <c r="A66" s="16" t="n">
        <v>7</v>
      </c>
      <c r="B66" s="17" t="n">
        <v>30</v>
      </c>
      <c r="C66" s="17" t="s">
        <v>254</v>
      </c>
      <c r="D66" s="17" t="s">
        <v>32</v>
      </c>
      <c r="E66" s="17" t="n">
        <v>5000</v>
      </c>
      <c r="F66" s="18"/>
      <c r="G66" s="0" t="n">
        <f aca="false">IF(D66="Mono&amp;Dual",MIN(E66,F66)*2,MIN(E66,F66))</f>
        <v>5000</v>
      </c>
    </row>
    <row r="67" customFormat="false" ht="15" hidden="false" customHeight="false" outlineLevel="0" collapsed="false">
      <c r="A67" s="19" t="n">
        <v>7</v>
      </c>
      <c r="B67" s="20" t="n">
        <v>50</v>
      </c>
      <c r="C67" s="20" t="s">
        <v>270</v>
      </c>
      <c r="D67" s="20" t="s">
        <v>32</v>
      </c>
      <c r="E67" s="20" t="n">
        <v>4000</v>
      </c>
      <c r="F67" s="21"/>
      <c r="G67" s="0" t="n">
        <f aca="false">IF(D67="Mono&amp;Dual",MIN(E67,F67)*2,MIN(E67,F67))</f>
        <v>4000</v>
      </c>
    </row>
    <row r="68" customFormat="false" ht="15" hidden="false" customHeight="false" outlineLevel="0" collapsed="false">
      <c r="A68" s="16" t="n">
        <v>7</v>
      </c>
      <c r="B68" s="17" t="n">
        <v>50</v>
      </c>
      <c r="C68" s="17" t="s">
        <v>271</v>
      </c>
      <c r="D68" s="17" t="s">
        <v>32</v>
      </c>
      <c r="E68" s="17" t="n">
        <v>4000</v>
      </c>
      <c r="F68" s="18"/>
      <c r="G68" s="0" t="n">
        <f aca="false">IF(D68="Mono&amp;Dual",MIN(E68,F68)*2,MIN(E68,F68))</f>
        <v>4000</v>
      </c>
    </row>
    <row r="69" customFormat="false" ht="15" hidden="false" customHeight="false" outlineLevel="0" collapsed="false">
      <c r="A69" s="19" t="n">
        <v>7</v>
      </c>
      <c r="B69" s="20" t="n">
        <v>50</v>
      </c>
      <c r="C69" s="20" t="s">
        <v>272</v>
      </c>
      <c r="D69" s="20" t="s">
        <v>32</v>
      </c>
      <c r="E69" s="20" t="n">
        <v>4000</v>
      </c>
      <c r="F69" s="21"/>
      <c r="G69" s="0" t="n">
        <f aca="false">IF(D69="Mono&amp;Dual",MIN(E69,F69)*2,MIN(E69,F69))</f>
        <v>4000</v>
      </c>
    </row>
    <row r="70" customFormat="false" ht="15" hidden="false" customHeight="false" outlineLevel="0" collapsed="false">
      <c r="A70" s="16" t="n">
        <v>7</v>
      </c>
      <c r="B70" s="17" t="n">
        <v>50</v>
      </c>
      <c r="C70" s="17" t="s">
        <v>273</v>
      </c>
      <c r="D70" s="17" t="s">
        <v>32</v>
      </c>
      <c r="E70" s="17" t="n">
        <v>4000</v>
      </c>
      <c r="F70" s="18"/>
      <c r="G70" s="0" t="n">
        <f aca="false">IF(D70="Mono&amp;Dual",MIN(E70,F70)*2,MIN(E70,F70))</f>
        <v>4000</v>
      </c>
    </row>
    <row r="71" customFormat="false" ht="15" hidden="false" customHeight="false" outlineLevel="0" collapsed="false">
      <c r="A71" s="19" t="n">
        <v>7</v>
      </c>
      <c r="B71" s="20" t="n">
        <v>50</v>
      </c>
      <c r="C71" s="20" t="s">
        <v>274</v>
      </c>
      <c r="D71" s="20" t="s">
        <v>32</v>
      </c>
      <c r="E71" s="20" t="n">
        <v>4000</v>
      </c>
      <c r="F71" s="21"/>
      <c r="G71" s="0" t="n">
        <f aca="false">IF(D71="Mono&amp;Dual",MIN(E71,F71)*2,MIN(E71,F71))</f>
        <v>4000</v>
      </c>
    </row>
    <row r="72" customFormat="false" ht="15" hidden="false" customHeight="false" outlineLevel="0" collapsed="false">
      <c r="A72" s="16" t="n">
        <v>7</v>
      </c>
      <c r="B72" s="17" t="n">
        <v>50</v>
      </c>
      <c r="C72" s="17" t="s">
        <v>275</v>
      </c>
      <c r="D72" s="17" t="s">
        <v>32</v>
      </c>
      <c r="E72" s="17" t="n">
        <v>4000</v>
      </c>
      <c r="F72" s="18"/>
      <c r="G72" s="0" t="n">
        <f aca="false">IF(D72="Mono&amp;Dual",MIN(E72,F72)*2,MIN(E72,F72))</f>
        <v>4000</v>
      </c>
    </row>
    <row r="73" customFormat="false" ht="15" hidden="false" customHeight="false" outlineLevel="0" collapsed="false">
      <c r="A73" s="19" t="n">
        <v>7</v>
      </c>
      <c r="B73" s="20" t="n">
        <v>50</v>
      </c>
      <c r="C73" s="20" t="s">
        <v>276</v>
      </c>
      <c r="D73" s="20" t="s">
        <v>32</v>
      </c>
      <c r="E73" s="20" t="n">
        <v>4000</v>
      </c>
      <c r="F73" s="21"/>
      <c r="G73" s="0" t="n">
        <f aca="false">IF(D73="Mono&amp;Dual",MIN(E73,F73)*2,MIN(E73,F73))</f>
        <v>4000</v>
      </c>
    </row>
    <row r="74" customFormat="false" ht="15" hidden="false" customHeight="false" outlineLevel="0" collapsed="false">
      <c r="A74" s="16" t="n">
        <v>7</v>
      </c>
      <c r="B74" s="17" t="n">
        <v>50</v>
      </c>
      <c r="C74" s="17" t="s">
        <v>277</v>
      </c>
      <c r="D74" s="17" t="s">
        <v>32</v>
      </c>
      <c r="E74" s="17" t="n">
        <v>4000</v>
      </c>
      <c r="F74" s="18"/>
      <c r="G74" s="0" t="n">
        <f aca="false">IF(D74="Mono&amp;Dual",MIN(E74,F74)*2,MIN(E74,F74))</f>
        <v>4000</v>
      </c>
    </row>
    <row r="75" customFormat="false" ht="15" hidden="false" customHeight="false" outlineLevel="0" collapsed="false">
      <c r="A75" s="19" t="n">
        <v>7</v>
      </c>
      <c r="B75" s="20" t="n">
        <v>50</v>
      </c>
      <c r="C75" s="20" t="s">
        <v>278</v>
      </c>
      <c r="D75" s="20" t="s">
        <v>32</v>
      </c>
      <c r="E75" s="20" t="n">
        <v>4000</v>
      </c>
      <c r="F75" s="21"/>
      <c r="G75" s="0" t="n">
        <f aca="false">IF(D75="Mono&amp;Dual",MIN(E75,F75)*2,MIN(E75,F75))</f>
        <v>4000</v>
      </c>
    </row>
    <row r="76" customFormat="false" ht="15" hidden="false" customHeight="false" outlineLevel="0" collapsed="false">
      <c r="A76" s="16" t="n">
        <v>7</v>
      </c>
      <c r="B76" s="17" t="n">
        <v>50</v>
      </c>
      <c r="C76" s="17" t="s">
        <v>279</v>
      </c>
      <c r="D76" s="17" t="s">
        <v>32</v>
      </c>
      <c r="E76" s="17" t="n">
        <v>4000</v>
      </c>
      <c r="F76" s="18"/>
      <c r="G76" s="0" t="n">
        <f aca="false">IF(D76="Mono&amp;Dual",MIN(E76,F76)*2,MIN(E76,F76))</f>
        <v>4000</v>
      </c>
    </row>
    <row r="77" customFormat="false" ht="15" hidden="false" customHeight="false" outlineLevel="0" collapsed="false">
      <c r="A77" s="19" t="n">
        <v>7</v>
      </c>
      <c r="B77" s="20" t="n">
        <v>50</v>
      </c>
      <c r="C77" s="20" t="s">
        <v>280</v>
      </c>
      <c r="D77" s="20" t="s">
        <v>32</v>
      </c>
      <c r="E77" s="20" t="n">
        <v>4000</v>
      </c>
      <c r="F77" s="21"/>
      <c r="G77" s="0" t="n">
        <f aca="false">IF(D77="Mono&amp;Dual",MIN(E77,F77)*2,MIN(E77,F77))</f>
        <v>4000</v>
      </c>
    </row>
    <row r="78" customFormat="false" ht="15" hidden="false" customHeight="false" outlineLevel="0" collapsed="false">
      <c r="A78" s="16" t="n">
        <v>7</v>
      </c>
      <c r="B78" s="17" t="n">
        <v>50</v>
      </c>
      <c r="C78" s="17" t="s">
        <v>281</v>
      </c>
      <c r="D78" s="17" t="s">
        <v>32</v>
      </c>
      <c r="E78" s="17" t="n">
        <v>4000</v>
      </c>
      <c r="F78" s="18"/>
      <c r="G78" s="0" t="n">
        <f aca="false">IF(D78="Mono&amp;Dual",MIN(E78,F78)*2,MIN(E78,F78))</f>
        <v>4000</v>
      </c>
    </row>
    <row r="79" customFormat="false" ht="15" hidden="false" customHeight="false" outlineLevel="0" collapsed="false">
      <c r="A79" s="19" t="n">
        <v>7</v>
      </c>
      <c r="B79" s="20" t="n">
        <v>50</v>
      </c>
      <c r="C79" s="20" t="s">
        <v>282</v>
      </c>
      <c r="D79" s="20" t="s">
        <v>32</v>
      </c>
      <c r="E79" s="20" t="n">
        <v>4000</v>
      </c>
      <c r="F79" s="21"/>
      <c r="G79" s="0" t="n">
        <f aca="false">IF(D79="Mono&amp;Dual",MIN(E79,F79)*2,MIN(E79,F79))</f>
        <v>4000</v>
      </c>
    </row>
    <row r="80" customFormat="false" ht="15" hidden="false" customHeight="false" outlineLevel="0" collapsed="false">
      <c r="A80" s="16" t="n">
        <v>7</v>
      </c>
      <c r="B80" s="17" t="n">
        <v>50</v>
      </c>
      <c r="C80" s="17" t="s">
        <v>283</v>
      </c>
      <c r="D80" s="17" t="s">
        <v>32</v>
      </c>
      <c r="E80" s="17" t="n">
        <v>4000</v>
      </c>
      <c r="F80" s="18"/>
      <c r="G80" s="0" t="n">
        <f aca="false">IF(D80="Mono&amp;Dual",MIN(E80,F80)*2,MIN(E80,F80))</f>
        <v>4000</v>
      </c>
    </row>
    <row r="81" customFormat="false" ht="15" hidden="false" customHeight="false" outlineLevel="0" collapsed="false">
      <c r="A81" s="19" t="n">
        <v>7</v>
      </c>
      <c r="B81" s="20" t="n">
        <v>50</v>
      </c>
      <c r="C81" s="20" t="s">
        <v>284</v>
      </c>
      <c r="D81" s="20" t="s">
        <v>32</v>
      </c>
      <c r="E81" s="20" t="n">
        <v>4000</v>
      </c>
      <c r="F81" s="21"/>
      <c r="G81" s="0" t="n">
        <f aca="false">IF(D81="Mono&amp;Dual",MIN(E81,F81)*2,MIN(E81,F81))</f>
        <v>4000</v>
      </c>
    </row>
    <row r="82" customFormat="false" ht="15" hidden="false" customHeight="false" outlineLevel="0" collapsed="false">
      <c r="A82" s="16" t="n">
        <v>7</v>
      </c>
      <c r="B82" s="17" t="n">
        <v>50</v>
      </c>
      <c r="C82" s="17" t="s">
        <v>217</v>
      </c>
      <c r="D82" s="17" t="s">
        <v>32</v>
      </c>
      <c r="E82" s="17" t="n">
        <v>4000</v>
      </c>
      <c r="F82" s="18"/>
      <c r="G82" s="0" t="n">
        <f aca="false">IF(D82="Mono&amp;Dual",MIN(E82,F82)*2,MIN(E82,F82))</f>
        <v>4000</v>
      </c>
    </row>
    <row r="83" customFormat="false" ht="15" hidden="false" customHeight="false" outlineLevel="0" collapsed="false">
      <c r="A83" s="19" t="n">
        <v>7</v>
      </c>
      <c r="B83" s="20" t="n">
        <v>50</v>
      </c>
      <c r="C83" s="20" t="s">
        <v>218</v>
      </c>
      <c r="D83" s="20" t="s">
        <v>32</v>
      </c>
      <c r="E83" s="20" t="n">
        <v>4000</v>
      </c>
      <c r="F83" s="21"/>
      <c r="G83" s="0" t="n">
        <f aca="false">IF(D83="Mono&amp;Dual",MIN(E83,F83)*2,MIN(E83,F83))</f>
        <v>4000</v>
      </c>
    </row>
    <row r="84" customFormat="false" ht="15" hidden="false" customHeight="false" outlineLevel="0" collapsed="false">
      <c r="A84" s="16" t="n">
        <v>7</v>
      </c>
      <c r="B84" s="17" t="n">
        <v>50</v>
      </c>
      <c r="C84" s="17" t="s">
        <v>219</v>
      </c>
      <c r="D84" s="17" t="s">
        <v>32</v>
      </c>
      <c r="E84" s="17" t="n">
        <v>4000</v>
      </c>
      <c r="F84" s="18"/>
      <c r="G84" s="0" t="n">
        <f aca="false">IF(D84="Mono&amp;Dual",MIN(E84,F84)*2,MIN(E84,F84))</f>
        <v>4000</v>
      </c>
    </row>
    <row r="85" customFormat="false" ht="15" hidden="false" customHeight="false" outlineLevel="0" collapsed="false">
      <c r="A85" s="19" t="n">
        <v>7</v>
      </c>
      <c r="B85" s="20" t="n">
        <v>50</v>
      </c>
      <c r="C85" s="20" t="s">
        <v>220</v>
      </c>
      <c r="D85" s="20" t="s">
        <v>32</v>
      </c>
      <c r="E85" s="20" t="n">
        <v>4000</v>
      </c>
      <c r="F85" s="21"/>
      <c r="G85" s="0" t="n">
        <f aca="false">IF(D85="Mono&amp;Dual",MIN(E85,F85)*2,MIN(E85,F85))</f>
        <v>4000</v>
      </c>
    </row>
    <row r="86" customFormat="false" ht="15" hidden="false" customHeight="false" outlineLevel="0" collapsed="false">
      <c r="A86" s="16" t="n">
        <v>7</v>
      </c>
      <c r="B86" s="17" t="n">
        <v>50</v>
      </c>
      <c r="C86" s="17" t="s">
        <v>221</v>
      </c>
      <c r="D86" s="17" t="s">
        <v>32</v>
      </c>
      <c r="E86" s="17" t="n">
        <v>4000</v>
      </c>
      <c r="F86" s="18"/>
      <c r="G86" s="0" t="n">
        <f aca="false">IF(D86="Mono&amp;Dual",MIN(E86,F86)*2,MIN(E86,F86))</f>
        <v>4000</v>
      </c>
    </row>
    <row r="87" customFormat="false" ht="15" hidden="false" customHeight="false" outlineLevel="0" collapsed="false">
      <c r="A87" s="19" t="n">
        <v>7</v>
      </c>
      <c r="B87" s="20" t="n">
        <v>50</v>
      </c>
      <c r="C87" s="20" t="s">
        <v>222</v>
      </c>
      <c r="D87" s="20" t="s">
        <v>32</v>
      </c>
      <c r="E87" s="20" t="n">
        <v>4000</v>
      </c>
      <c r="F87" s="21"/>
      <c r="G87" s="0" t="n">
        <f aca="false">IF(D87="Mono&amp;Dual",MIN(E87,F87)*2,MIN(E87,F87))</f>
        <v>4000</v>
      </c>
    </row>
    <row r="88" customFormat="false" ht="15" hidden="false" customHeight="false" outlineLevel="0" collapsed="false">
      <c r="A88" s="16" t="n">
        <v>7</v>
      </c>
      <c r="B88" s="17" t="n">
        <v>50</v>
      </c>
      <c r="C88" s="17" t="s">
        <v>225</v>
      </c>
      <c r="D88" s="17" t="s">
        <v>32</v>
      </c>
      <c r="E88" s="17" t="n">
        <v>4000</v>
      </c>
      <c r="F88" s="18"/>
      <c r="G88" s="0" t="n">
        <f aca="false">IF(D88="Mono&amp;Dual",MIN(E88,F88)*2,MIN(E88,F88))</f>
        <v>4000</v>
      </c>
    </row>
    <row r="89" customFormat="false" ht="15" hidden="false" customHeight="false" outlineLevel="0" collapsed="false">
      <c r="A89" s="19" t="n">
        <v>7</v>
      </c>
      <c r="B89" s="20" t="n">
        <v>50</v>
      </c>
      <c r="C89" s="20" t="s">
        <v>226</v>
      </c>
      <c r="D89" s="20" t="s">
        <v>32</v>
      </c>
      <c r="E89" s="20" t="n">
        <v>4000</v>
      </c>
      <c r="F89" s="21"/>
      <c r="G89" s="0" t="n">
        <f aca="false">IF(D89="Mono&amp;Dual",MIN(E89,F89)*2,MIN(E89,F89))</f>
        <v>4000</v>
      </c>
    </row>
    <row r="90" customFormat="false" ht="15" hidden="false" customHeight="false" outlineLevel="0" collapsed="false">
      <c r="A90" s="16" t="n">
        <v>7</v>
      </c>
      <c r="B90" s="17" t="n">
        <v>50</v>
      </c>
      <c r="C90" s="17" t="s">
        <v>227</v>
      </c>
      <c r="D90" s="17" t="s">
        <v>32</v>
      </c>
      <c r="E90" s="17" t="n">
        <v>4000</v>
      </c>
      <c r="F90" s="18"/>
      <c r="G90" s="0" t="n">
        <f aca="false">IF(D90="Mono&amp;Dual",MIN(E90,F90)*2,MIN(E90,F90))</f>
        <v>4000</v>
      </c>
    </row>
    <row r="91" customFormat="false" ht="15" hidden="false" customHeight="false" outlineLevel="0" collapsed="false">
      <c r="A91" s="19" t="n">
        <v>7</v>
      </c>
      <c r="B91" s="20" t="n">
        <v>50</v>
      </c>
      <c r="C91" s="20" t="s">
        <v>228</v>
      </c>
      <c r="D91" s="20" t="s">
        <v>32</v>
      </c>
      <c r="E91" s="20" t="n">
        <v>4000</v>
      </c>
      <c r="F91" s="21"/>
      <c r="G91" s="0" t="n">
        <f aca="false">IF(D91="Mono&amp;Dual",MIN(E91,F91)*2,MIN(E91,F91))</f>
        <v>4000</v>
      </c>
    </row>
    <row r="92" customFormat="false" ht="15" hidden="false" customHeight="false" outlineLevel="0" collapsed="false">
      <c r="A92" s="16" t="n">
        <v>7</v>
      </c>
      <c r="B92" s="17" t="n">
        <v>50</v>
      </c>
      <c r="C92" s="17" t="s">
        <v>229</v>
      </c>
      <c r="D92" s="17" t="s">
        <v>32</v>
      </c>
      <c r="E92" s="17" t="n">
        <v>4000</v>
      </c>
      <c r="F92" s="18"/>
      <c r="G92" s="0" t="n">
        <f aca="false">IF(D92="Mono&amp;Dual",MIN(E92,F92)*2,MIN(E92,F92))</f>
        <v>4000</v>
      </c>
    </row>
    <row r="93" customFormat="false" ht="15" hidden="false" customHeight="false" outlineLevel="0" collapsed="false">
      <c r="A93" s="19" t="n">
        <v>7</v>
      </c>
      <c r="B93" s="20" t="n">
        <v>50</v>
      </c>
      <c r="C93" s="20" t="s">
        <v>230</v>
      </c>
      <c r="D93" s="20" t="s">
        <v>32</v>
      </c>
      <c r="E93" s="20" t="n">
        <v>4000</v>
      </c>
      <c r="F93" s="21"/>
      <c r="G93" s="0" t="n">
        <f aca="false">IF(D93="Mono&amp;Dual",MIN(E93,F93)*2,MIN(E93,F93))</f>
        <v>4000</v>
      </c>
    </row>
    <row r="94" customFormat="false" ht="15" hidden="false" customHeight="false" outlineLevel="0" collapsed="false">
      <c r="A94" s="16" t="n">
        <v>7</v>
      </c>
      <c r="B94" s="17" t="n">
        <v>50</v>
      </c>
      <c r="C94" s="17" t="s">
        <v>247</v>
      </c>
      <c r="D94" s="17" t="s">
        <v>32</v>
      </c>
      <c r="E94" s="17" t="n">
        <v>4000</v>
      </c>
      <c r="F94" s="18"/>
      <c r="G94" s="0" t="n">
        <f aca="false">IF(D94="Mono&amp;Dual",MIN(E94,F94)*2,MIN(E94,F94))</f>
        <v>4000</v>
      </c>
    </row>
    <row r="95" customFormat="false" ht="15" hidden="false" customHeight="false" outlineLevel="0" collapsed="false">
      <c r="A95" s="19" t="n">
        <v>7</v>
      </c>
      <c r="B95" s="20" t="n">
        <v>50</v>
      </c>
      <c r="C95" s="20" t="s">
        <v>248</v>
      </c>
      <c r="D95" s="20" t="s">
        <v>32</v>
      </c>
      <c r="E95" s="20" t="n">
        <v>4000</v>
      </c>
      <c r="F95" s="21"/>
      <c r="G95" s="0" t="n">
        <f aca="false">IF(D95="Mono&amp;Dual",MIN(E95,F95)*2,MIN(E95,F95))</f>
        <v>4000</v>
      </c>
    </row>
    <row r="96" customFormat="false" ht="15" hidden="false" customHeight="false" outlineLevel="0" collapsed="false">
      <c r="A96" s="16" t="n">
        <v>7</v>
      </c>
      <c r="B96" s="17" t="n">
        <v>50</v>
      </c>
      <c r="C96" s="17" t="s">
        <v>249</v>
      </c>
      <c r="D96" s="17" t="s">
        <v>32</v>
      </c>
      <c r="E96" s="17" t="n">
        <v>4000</v>
      </c>
      <c r="F96" s="18"/>
      <c r="G96" s="0" t="n">
        <f aca="false">IF(D96="Mono&amp;Dual",MIN(E96,F96)*2,MIN(E96,F96))</f>
        <v>4000</v>
      </c>
    </row>
    <row r="97" customFormat="false" ht="15" hidden="false" customHeight="false" outlineLevel="0" collapsed="false">
      <c r="A97" s="19" t="n">
        <v>7</v>
      </c>
      <c r="B97" s="20" t="n">
        <v>50</v>
      </c>
      <c r="C97" s="20" t="s">
        <v>250</v>
      </c>
      <c r="D97" s="20" t="s">
        <v>32</v>
      </c>
      <c r="E97" s="20" t="n">
        <v>4000</v>
      </c>
      <c r="F97" s="21"/>
      <c r="G97" s="0" t="n">
        <f aca="false">IF(D97="Mono&amp;Dual",MIN(E97,F97)*2,MIN(E97,F97))</f>
        <v>4000</v>
      </c>
    </row>
    <row r="98" customFormat="false" ht="15" hidden="false" customHeight="false" outlineLevel="0" collapsed="false">
      <c r="A98" s="16" t="n">
        <v>7</v>
      </c>
      <c r="B98" s="17" t="n">
        <v>50</v>
      </c>
      <c r="C98" s="17" t="s">
        <v>251</v>
      </c>
      <c r="D98" s="17" t="s">
        <v>32</v>
      </c>
      <c r="E98" s="17" t="n">
        <v>4000</v>
      </c>
      <c r="F98" s="18"/>
      <c r="G98" s="0" t="n">
        <f aca="false">IF(D98="Mono&amp;Dual",MIN(E98,F98)*2,MIN(E98,F98))</f>
        <v>4000</v>
      </c>
    </row>
    <row r="99" customFormat="false" ht="15" hidden="false" customHeight="false" outlineLevel="0" collapsed="false">
      <c r="A99" s="19" t="n">
        <v>7</v>
      </c>
      <c r="B99" s="20" t="n">
        <v>50</v>
      </c>
      <c r="C99" s="20" t="s">
        <v>252</v>
      </c>
      <c r="D99" s="20" t="s">
        <v>32</v>
      </c>
      <c r="E99" s="20" t="n">
        <v>4000</v>
      </c>
      <c r="F99" s="21"/>
      <c r="G99" s="0" t="n">
        <f aca="false">IF(D99="Mono&amp;Dual",MIN(E99,F99)*2,MIN(E99,F99))</f>
        <v>4000</v>
      </c>
    </row>
    <row r="100" customFormat="false" ht="15" hidden="false" customHeight="false" outlineLevel="0" collapsed="false">
      <c r="A100" s="16" t="n">
        <v>7</v>
      </c>
      <c r="B100" s="17" t="n">
        <v>50</v>
      </c>
      <c r="C100" s="17" t="s">
        <v>253</v>
      </c>
      <c r="D100" s="17" t="s">
        <v>32</v>
      </c>
      <c r="E100" s="17" t="n">
        <v>4000</v>
      </c>
      <c r="F100" s="18"/>
      <c r="G100" s="0" t="n">
        <f aca="false">IF(D100="Mono&amp;Dual",MIN(E100,F100)*2,MIN(E100,F100))</f>
        <v>4000</v>
      </c>
    </row>
    <row r="101" customFormat="false" ht="15" hidden="false" customHeight="false" outlineLevel="0" collapsed="false">
      <c r="A101" s="19" t="n">
        <v>7</v>
      </c>
      <c r="B101" s="20" t="n">
        <v>50</v>
      </c>
      <c r="C101" s="20" t="s">
        <v>254</v>
      </c>
      <c r="D101" s="20" t="s">
        <v>32</v>
      </c>
      <c r="E101" s="20" t="n">
        <v>4000</v>
      </c>
      <c r="F101" s="21"/>
      <c r="G101" s="0" t="n">
        <f aca="false">IF(D101="Mono&amp;Dual",MIN(E101,F101)*2,MIN(E101,F101))</f>
        <v>4000</v>
      </c>
    </row>
    <row r="102" customFormat="false" ht="15" hidden="false" customHeight="false" outlineLevel="0" collapsed="false">
      <c r="A102" s="16" t="n">
        <v>7</v>
      </c>
      <c r="B102" s="17" t="n">
        <v>50</v>
      </c>
      <c r="C102" s="17" t="s">
        <v>255</v>
      </c>
      <c r="D102" s="17" t="s">
        <v>32</v>
      </c>
      <c r="E102" s="17" t="n">
        <v>4000</v>
      </c>
      <c r="F102" s="18"/>
      <c r="G102" s="0" t="n">
        <f aca="false">IF(D102="Mono&amp;Dual",MIN(E102,F102)*2,MIN(E102,F102))</f>
        <v>4000</v>
      </c>
    </row>
    <row r="103" customFormat="false" ht="15" hidden="false" customHeight="false" outlineLevel="0" collapsed="false">
      <c r="A103" s="19" t="n">
        <v>7</v>
      </c>
      <c r="B103" s="20" t="n">
        <v>50</v>
      </c>
      <c r="C103" s="20" t="s">
        <v>256</v>
      </c>
      <c r="D103" s="20" t="s">
        <v>32</v>
      </c>
      <c r="E103" s="20" t="n">
        <v>4000</v>
      </c>
      <c r="F103" s="21"/>
      <c r="G103" s="0" t="n">
        <f aca="false">IF(D103="Mono&amp;Dual",MIN(E103,F103)*2,MIN(E103,F103))</f>
        <v>4000</v>
      </c>
    </row>
    <row r="104" customFormat="false" ht="15" hidden="false" customHeight="false" outlineLevel="0" collapsed="false">
      <c r="A104" s="16" t="n">
        <v>7</v>
      </c>
      <c r="B104" s="17" t="n">
        <v>50</v>
      </c>
      <c r="C104" s="17" t="s">
        <v>257</v>
      </c>
      <c r="D104" s="17" t="s">
        <v>32</v>
      </c>
      <c r="E104" s="17" t="n">
        <v>4000</v>
      </c>
      <c r="F104" s="18"/>
      <c r="G104" s="0" t="n">
        <f aca="false">IF(D104="Mono&amp;Dual",MIN(E104,F104)*2,MIN(E104,F104))</f>
        <v>4000</v>
      </c>
    </row>
    <row r="105" customFormat="false" ht="15" hidden="false" customHeight="false" outlineLevel="0" collapsed="false">
      <c r="A105" s="19" t="n">
        <v>7</v>
      </c>
      <c r="B105" s="20" t="n">
        <v>50</v>
      </c>
      <c r="C105" s="20" t="s">
        <v>258</v>
      </c>
      <c r="D105" s="20" t="s">
        <v>32</v>
      </c>
      <c r="E105" s="20" t="n">
        <v>4000</v>
      </c>
      <c r="F105" s="21"/>
      <c r="G105" s="0" t="n">
        <f aca="false">IF(D105="Mono&amp;Dual",MIN(E105,F105)*2,MIN(E105,F105))</f>
        <v>4000</v>
      </c>
    </row>
    <row r="106" customFormat="false" ht="15" hidden="false" customHeight="false" outlineLevel="0" collapsed="false">
      <c r="A106" s="16" t="n">
        <v>7</v>
      </c>
      <c r="B106" s="17" t="n">
        <v>50</v>
      </c>
      <c r="C106" s="17" t="s">
        <v>259</v>
      </c>
      <c r="D106" s="17" t="s">
        <v>32</v>
      </c>
      <c r="E106" s="17" t="n">
        <v>4000</v>
      </c>
      <c r="F106" s="18"/>
      <c r="G106" s="0" t="n">
        <f aca="false">IF(D106="Mono&amp;Dual",MIN(E106,F106)*2,MIN(E106,F106))</f>
        <v>4000</v>
      </c>
    </row>
    <row r="107" customFormat="false" ht="15" hidden="false" customHeight="false" outlineLevel="0" collapsed="false">
      <c r="A107" s="19" t="n">
        <v>7</v>
      </c>
      <c r="B107" s="20" t="n">
        <v>50</v>
      </c>
      <c r="C107" s="20" t="s">
        <v>260</v>
      </c>
      <c r="D107" s="20" t="s">
        <v>32</v>
      </c>
      <c r="E107" s="20" t="n">
        <v>4000</v>
      </c>
      <c r="F107" s="21"/>
      <c r="G107" s="0" t="n">
        <f aca="false">IF(D107="Mono&amp;Dual",MIN(E107,F107)*2,MIN(E107,F107))</f>
        <v>4000</v>
      </c>
    </row>
    <row r="108" customFormat="false" ht="15" hidden="false" customHeight="false" outlineLevel="0" collapsed="false">
      <c r="A108" s="16" t="n">
        <v>7</v>
      </c>
      <c r="B108" s="17" t="n">
        <v>50</v>
      </c>
      <c r="C108" s="17" t="s">
        <v>261</v>
      </c>
      <c r="D108" s="17" t="s">
        <v>32</v>
      </c>
      <c r="E108" s="17" t="n">
        <v>4000</v>
      </c>
      <c r="F108" s="18"/>
      <c r="G108" s="0" t="n">
        <f aca="false">IF(D108="Mono&amp;Dual",MIN(E108,F108)*2,MIN(E108,F108))</f>
        <v>4000</v>
      </c>
    </row>
    <row r="109" customFormat="false" ht="15" hidden="false" customHeight="false" outlineLevel="0" collapsed="false">
      <c r="A109" s="19" t="n">
        <v>7</v>
      </c>
      <c r="B109" s="20" t="n">
        <v>50</v>
      </c>
      <c r="C109" s="20" t="s">
        <v>262</v>
      </c>
      <c r="D109" s="20" t="s">
        <v>32</v>
      </c>
      <c r="E109" s="20" t="n">
        <v>4000</v>
      </c>
      <c r="F109" s="21"/>
      <c r="G109" s="0" t="n">
        <f aca="false">IF(D109="Mono&amp;Dual",MIN(E109,F109)*2,MIN(E109,F109))</f>
        <v>4000</v>
      </c>
    </row>
    <row r="110" customFormat="false" ht="15" hidden="false" customHeight="false" outlineLevel="0" collapsed="false">
      <c r="A110" s="16" t="n">
        <v>7</v>
      </c>
      <c r="B110" s="17" t="n">
        <v>50</v>
      </c>
      <c r="C110" s="17" t="s">
        <v>263</v>
      </c>
      <c r="D110" s="17" t="s">
        <v>32</v>
      </c>
      <c r="E110" s="17" t="n">
        <v>4000</v>
      </c>
      <c r="F110" s="18"/>
      <c r="G110" s="0" t="n">
        <f aca="false">IF(D110="Mono&amp;Dual",MIN(E110,F110)*2,MIN(E110,F110))</f>
        <v>4000</v>
      </c>
    </row>
    <row r="111" customFormat="false" ht="15" hidden="false" customHeight="false" outlineLevel="0" collapsed="false">
      <c r="A111" s="19" t="n">
        <v>7</v>
      </c>
      <c r="B111" s="20" t="n">
        <v>50</v>
      </c>
      <c r="C111" s="20" t="s">
        <v>264</v>
      </c>
      <c r="D111" s="20" t="s">
        <v>32</v>
      </c>
      <c r="E111" s="20" t="n">
        <v>4000</v>
      </c>
      <c r="F111" s="21"/>
      <c r="G111" s="0" t="n">
        <f aca="false">IF(D111="Mono&amp;Dual",MIN(E111,F111)*2,MIN(E111,F111))</f>
        <v>4000</v>
      </c>
    </row>
    <row r="112" customFormat="false" ht="15" hidden="false" customHeight="false" outlineLevel="0" collapsed="false">
      <c r="A112" s="16" t="n">
        <v>7</v>
      </c>
      <c r="B112" s="17" t="n">
        <v>50</v>
      </c>
      <c r="C112" s="17" t="s">
        <v>265</v>
      </c>
      <c r="D112" s="17" t="s">
        <v>32</v>
      </c>
      <c r="E112" s="17" t="n">
        <v>4000</v>
      </c>
      <c r="F112" s="18"/>
      <c r="G112" s="0" t="n">
        <f aca="false">IF(D112="Mono&amp;Dual",MIN(E112,F112)*2,MIN(E112,F112))</f>
        <v>4000</v>
      </c>
    </row>
    <row r="113" customFormat="false" ht="15" hidden="false" customHeight="false" outlineLevel="0" collapsed="false">
      <c r="A113" s="19" t="n">
        <v>7</v>
      </c>
      <c r="B113" s="20" t="n">
        <v>50</v>
      </c>
      <c r="C113" s="20" t="s">
        <v>266</v>
      </c>
      <c r="D113" s="20" t="s">
        <v>32</v>
      </c>
      <c r="E113" s="20" t="n">
        <v>4000</v>
      </c>
      <c r="F113" s="21"/>
      <c r="G113" s="0" t="n">
        <f aca="false">IF(D113="Mono&amp;Dual",MIN(E113,F113)*2,MIN(E113,F113))</f>
        <v>4000</v>
      </c>
    </row>
    <row r="114" customFormat="false" ht="15" hidden="false" customHeight="false" outlineLevel="0" collapsed="false">
      <c r="A114" s="16" t="n">
        <v>7</v>
      </c>
      <c r="B114" s="17" t="n">
        <v>50</v>
      </c>
      <c r="C114" s="17" t="s">
        <v>267</v>
      </c>
      <c r="D114" s="17" t="s">
        <v>32</v>
      </c>
      <c r="E114" s="17" t="n">
        <v>4000</v>
      </c>
      <c r="F114" s="18"/>
      <c r="G114" s="0" t="n">
        <f aca="false">IF(D114="Mono&amp;Dual",MIN(E114,F114)*2,MIN(E114,F114))</f>
        <v>4000</v>
      </c>
    </row>
    <row r="115" customFormat="false" ht="15" hidden="false" customHeight="false" outlineLevel="0" collapsed="false">
      <c r="A115" s="19" t="n">
        <v>7</v>
      </c>
      <c r="B115" s="20" t="n">
        <v>50</v>
      </c>
      <c r="C115" s="20" t="s">
        <v>268</v>
      </c>
      <c r="D115" s="20" t="s">
        <v>32</v>
      </c>
      <c r="E115" s="20" t="n">
        <v>4000</v>
      </c>
      <c r="F115" s="21"/>
      <c r="G115" s="0" t="n">
        <f aca="false">IF(D115="Mono&amp;Dual",MIN(E115,F115)*2,MIN(E115,F115))</f>
        <v>4000</v>
      </c>
    </row>
    <row r="116" customFormat="false" ht="15" hidden="false" customHeight="false" outlineLevel="0" collapsed="false">
      <c r="A116" s="16" t="n">
        <v>7</v>
      </c>
      <c r="B116" s="17" t="n">
        <v>50</v>
      </c>
      <c r="C116" s="17" t="s">
        <v>269</v>
      </c>
      <c r="D116" s="17" t="s">
        <v>32</v>
      </c>
      <c r="E116" s="17" t="n">
        <v>4000</v>
      </c>
      <c r="F116" s="18"/>
      <c r="G116" s="0" t="n">
        <f aca="false">IF(D116="Mono&amp;Dual",MIN(E116,F116)*2,MIN(E116,F116))</f>
        <v>4000</v>
      </c>
    </row>
    <row r="117" customFormat="false" ht="15" hidden="false" customHeight="false" outlineLevel="0" collapsed="false">
      <c r="A117" s="19" t="n">
        <v>7</v>
      </c>
      <c r="B117" s="20" t="n">
        <v>100</v>
      </c>
      <c r="C117" s="20" t="s">
        <v>343</v>
      </c>
      <c r="D117" s="20" t="s">
        <v>32</v>
      </c>
      <c r="E117" s="20" t="n">
        <v>3000</v>
      </c>
      <c r="F117" s="21"/>
      <c r="G117" s="0" t="n">
        <f aca="false">IF(D117="Mono&amp;Dual",MIN(E117,F117)*2,MIN(E117,F117))</f>
        <v>3000</v>
      </c>
    </row>
    <row r="118" customFormat="false" ht="15" hidden="false" customHeight="false" outlineLevel="0" collapsed="false">
      <c r="A118" s="16" t="n">
        <v>7</v>
      </c>
      <c r="B118" s="17" t="n">
        <v>100</v>
      </c>
      <c r="C118" s="17" t="s">
        <v>344</v>
      </c>
      <c r="D118" s="17" t="s">
        <v>32</v>
      </c>
      <c r="E118" s="17" t="n">
        <v>3000</v>
      </c>
      <c r="F118" s="18"/>
      <c r="G118" s="0" t="n">
        <f aca="false">IF(D118="Mono&amp;Dual",MIN(E118,F118)*2,MIN(E118,F118))</f>
        <v>3000</v>
      </c>
    </row>
    <row r="119" customFormat="false" ht="15" hidden="false" customHeight="false" outlineLevel="0" collapsed="false">
      <c r="A119" s="19" t="n">
        <v>7</v>
      </c>
      <c r="B119" s="20" t="n">
        <v>100</v>
      </c>
      <c r="C119" s="20" t="s">
        <v>345</v>
      </c>
      <c r="D119" s="20" t="s">
        <v>32</v>
      </c>
      <c r="E119" s="20" t="n">
        <v>3000</v>
      </c>
      <c r="F119" s="21"/>
      <c r="G119" s="0" t="n">
        <f aca="false">IF(D119="Mono&amp;Dual",MIN(E119,F119)*2,MIN(E119,F119))</f>
        <v>3000</v>
      </c>
    </row>
    <row r="120" customFormat="false" ht="15" hidden="false" customHeight="false" outlineLevel="0" collapsed="false">
      <c r="A120" s="16" t="n">
        <v>7</v>
      </c>
      <c r="B120" s="17" t="n">
        <v>100</v>
      </c>
      <c r="C120" s="17" t="s">
        <v>346</v>
      </c>
      <c r="D120" s="17" t="s">
        <v>32</v>
      </c>
      <c r="E120" s="17" t="n">
        <v>3000</v>
      </c>
      <c r="F120" s="18"/>
      <c r="G120" s="0" t="n">
        <f aca="false">IF(D120="Mono&amp;Dual",MIN(E120,F120)*2,MIN(E120,F120))</f>
        <v>3000</v>
      </c>
    </row>
    <row r="121" customFormat="false" ht="15" hidden="false" customHeight="false" outlineLevel="0" collapsed="false">
      <c r="A121" s="19" t="n">
        <v>7</v>
      </c>
      <c r="B121" s="20" t="n">
        <v>100</v>
      </c>
      <c r="C121" s="20" t="s">
        <v>347</v>
      </c>
      <c r="D121" s="20" t="s">
        <v>32</v>
      </c>
      <c r="E121" s="20" t="n">
        <v>3000</v>
      </c>
      <c r="F121" s="21"/>
      <c r="G121" s="0" t="n">
        <f aca="false">IF(D121="Mono&amp;Dual",MIN(E121,F121)*2,MIN(E121,F121))</f>
        <v>3000</v>
      </c>
    </row>
    <row r="122" customFormat="false" ht="15" hidden="false" customHeight="false" outlineLevel="0" collapsed="false">
      <c r="A122" s="16" t="n">
        <v>7</v>
      </c>
      <c r="B122" s="17" t="n">
        <v>100</v>
      </c>
      <c r="C122" s="17" t="s">
        <v>348</v>
      </c>
      <c r="D122" s="17" t="s">
        <v>32</v>
      </c>
      <c r="E122" s="17" t="n">
        <v>3000</v>
      </c>
      <c r="F122" s="18"/>
      <c r="G122" s="0" t="n">
        <f aca="false">IF(D122="Mono&amp;Dual",MIN(E122,F122)*2,MIN(E122,F122))</f>
        <v>3000</v>
      </c>
    </row>
    <row r="123" customFormat="false" ht="15" hidden="false" customHeight="false" outlineLevel="0" collapsed="false">
      <c r="A123" s="19" t="n">
        <v>7</v>
      </c>
      <c r="B123" s="20" t="n">
        <v>100</v>
      </c>
      <c r="C123" s="20" t="s">
        <v>349</v>
      </c>
      <c r="D123" s="20" t="s">
        <v>32</v>
      </c>
      <c r="E123" s="20" t="n">
        <v>3000</v>
      </c>
      <c r="F123" s="21"/>
      <c r="G123" s="0" t="n">
        <f aca="false">IF(D123="Mono&amp;Dual",MIN(E123,F123)*2,MIN(E123,F123))</f>
        <v>3000</v>
      </c>
    </row>
    <row r="124" customFormat="false" ht="15" hidden="false" customHeight="false" outlineLevel="0" collapsed="false">
      <c r="A124" s="16" t="n">
        <v>7</v>
      </c>
      <c r="B124" s="17" t="n">
        <v>100</v>
      </c>
      <c r="C124" s="17" t="s">
        <v>350</v>
      </c>
      <c r="D124" s="17" t="s">
        <v>32</v>
      </c>
      <c r="E124" s="17" t="n">
        <v>3000</v>
      </c>
      <c r="F124" s="18"/>
      <c r="G124" s="0" t="n">
        <f aca="false">IF(D124="Mono&amp;Dual",MIN(E124,F124)*2,MIN(E124,F124))</f>
        <v>3000</v>
      </c>
    </row>
    <row r="125" customFormat="false" ht="15" hidden="false" customHeight="false" outlineLevel="0" collapsed="false">
      <c r="A125" s="19" t="n">
        <v>7</v>
      </c>
      <c r="B125" s="20" t="n">
        <v>100</v>
      </c>
      <c r="C125" s="20" t="s">
        <v>351</v>
      </c>
      <c r="D125" s="20" t="s">
        <v>32</v>
      </c>
      <c r="E125" s="20" t="n">
        <v>3000</v>
      </c>
      <c r="F125" s="21"/>
      <c r="G125" s="0" t="n">
        <f aca="false">IF(D125="Mono&amp;Dual",MIN(E125,F125)*2,MIN(E125,F125))</f>
        <v>3000</v>
      </c>
    </row>
    <row r="126" customFormat="false" ht="15" hidden="false" customHeight="false" outlineLevel="0" collapsed="false">
      <c r="A126" s="16" t="n">
        <v>7</v>
      </c>
      <c r="B126" s="17" t="n">
        <v>100</v>
      </c>
      <c r="C126" s="17" t="s">
        <v>352</v>
      </c>
      <c r="D126" s="17" t="s">
        <v>32</v>
      </c>
      <c r="E126" s="17" t="n">
        <v>3000</v>
      </c>
      <c r="F126" s="18"/>
      <c r="G126" s="0" t="n">
        <f aca="false">IF(D126="Mono&amp;Dual",MIN(E126,F126)*2,MIN(E126,F126))</f>
        <v>3000</v>
      </c>
    </row>
    <row r="127" customFormat="false" ht="15" hidden="false" customHeight="false" outlineLevel="0" collapsed="false">
      <c r="A127" s="19" t="n">
        <v>7</v>
      </c>
      <c r="B127" s="20" t="n">
        <v>100</v>
      </c>
      <c r="C127" s="20" t="s">
        <v>353</v>
      </c>
      <c r="D127" s="20" t="s">
        <v>32</v>
      </c>
      <c r="E127" s="20" t="n">
        <v>3000</v>
      </c>
      <c r="F127" s="21"/>
      <c r="G127" s="0" t="n">
        <f aca="false">IF(D127="Mono&amp;Dual",MIN(E127,F127)*2,MIN(E127,F127))</f>
        <v>3000</v>
      </c>
    </row>
    <row r="128" customFormat="false" ht="15" hidden="false" customHeight="false" outlineLevel="0" collapsed="false">
      <c r="A128" s="16" t="n">
        <v>7</v>
      </c>
      <c r="B128" s="17" t="n">
        <v>100</v>
      </c>
      <c r="C128" s="17" t="s">
        <v>354</v>
      </c>
      <c r="D128" s="17" t="s">
        <v>32</v>
      </c>
      <c r="E128" s="17" t="n">
        <v>3000</v>
      </c>
      <c r="F128" s="18"/>
      <c r="G128" s="0" t="n">
        <f aca="false">IF(D128="Mono&amp;Dual",MIN(E128,F128)*2,MIN(E128,F128))</f>
        <v>3000</v>
      </c>
    </row>
    <row r="129" customFormat="false" ht="15" hidden="false" customHeight="false" outlineLevel="0" collapsed="false">
      <c r="A129" s="19" t="n">
        <v>7</v>
      </c>
      <c r="B129" s="20" t="n">
        <v>100</v>
      </c>
      <c r="C129" s="20" t="s">
        <v>355</v>
      </c>
      <c r="D129" s="20" t="s">
        <v>32</v>
      </c>
      <c r="E129" s="20" t="n">
        <v>3000</v>
      </c>
      <c r="F129" s="21"/>
      <c r="G129" s="0" t="n">
        <f aca="false">IF(D129="Mono&amp;Dual",MIN(E129,F129)*2,MIN(E129,F129))</f>
        <v>3000</v>
      </c>
    </row>
    <row r="130" customFormat="false" ht="15" hidden="false" customHeight="false" outlineLevel="0" collapsed="false">
      <c r="A130" s="16" t="n">
        <v>7</v>
      </c>
      <c r="B130" s="17" t="n">
        <v>100</v>
      </c>
      <c r="C130" s="17" t="s">
        <v>356</v>
      </c>
      <c r="D130" s="17" t="s">
        <v>32</v>
      </c>
      <c r="E130" s="17" t="n">
        <v>3000</v>
      </c>
      <c r="F130" s="18"/>
      <c r="G130" s="0" t="n">
        <f aca="false">IF(D130="Mono&amp;Dual",MIN(E130,F130)*2,MIN(E130,F130))</f>
        <v>3000</v>
      </c>
    </row>
    <row r="131" customFormat="false" ht="15" hidden="false" customHeight="false" outlineLevel="0" collapsed="false">
      <c r="A131" s="19" t="n">
        <v>7</v>
      </c>
      <c r="B131" s="20" t="n">
        <v>100</v>
      </c>
      <c r="C131" s="20" t="s">
        <v>357</v>
      </c>
      <c r="D131" s="20" t="s">
        <v>32</v>
      </c>
      <c r="E131" s="20" t="n">
        <v>3000</v>
      </c>
      <c r="F131" s="21"/>
      <c r="G131" s="0" t="n">
        <f aca="false">IF(D131="Mono&amp;Dual",MIN(E131,F131)*2,MIN(E131,F131))</f>
        <v>3000</v>
      </c>
    </row>
    <row r="132" customFormat="false" ht="15" hidden="false" customHeight="false" outlineLevel="0" collapsed="false">
      <c r="A132" s="16" t="n">
        <v>7</v>
      </c>
      <c r="B132" s="17" t="n">
        <v>100</v>
      </c>
      <c r="C132" s="17" t="s">
        <v>358</v>
      </c>
      <c r="D132" s="17" t="s">
        <v>32</v>
      </c>
      <c r="E132" s="17" t="n">
        <v>3000</v>
      </c>
      <c r="F132" s="18"/>
      <c r="G132" s="0" t="n">
        <f aca="false">IF(D132="Mono&amp;Dual",MIN(E132,F132)*2,MIN(E132,F132))</f>
        <v>3000</v>
      </c>
    </row>
    <row r="133" customFormat="false" ht="15" hidden="false" customHeight="false" outlineLevel="0" collapsed="false">
      <c r="A133" s="19" t="n">
        <v>7</v>
      </c>
      <c r="B133" s="20" t="n">
        <v>100</v>
      </c>
      <c r="C133" s="20" t="s">
        <v>359</v>
      </c>
      <c r="D133" s="20" t="s">
        <v>32</v>
      </c>
      <c r="E133" s="20" t="n">
        <v>3000</v>
      </c>
      <c r="F133" s="21"/>
      <c r="G133" s="0" t="n">
        <f aca="false">IF(D133="Mono&amp;Dual",MIN(E133,F133)*2,MIN(E133,F133))</f>
        <v>3000</v>
      </c>
    </row>
    <row r="134" customFormat="false" ht="15" hidden="false" customHeight="false" outlineLevel="0" collapsed="false">
      <c r="A134" s="16" t="n">
        <v>7</v>
      </c>
      <c r="B134" s="17" t="n">
        <v>100</v>
      </c>
      <c r="C134" s="17" t="s">
        <v>360</v>
      </c>
      <c r="D134" s="17" t="s">
        <v>32</v>
      </c>
      <c r="E134" s="17" t="n">
        <v>3000</v>
      </c>
      <c r="F134" s="18"/>
      <c r="G134" s="0" t="n">
        <f aca="false">IF(D134="Mono&amp;Dual",MIN(E134,F134)*2,MIN(E134,F134))</f>
        <v>3000</v>
      </c>
    </row>
    <row r="135" customFormat="false" ht="15" hidden="false" customHeight="false" outlineLevel="0" collapsed="false">
      <c r="A135" s="19" t="n">
        <v>7</v>
      </c>
      <c r="B135" s="20" t="n">
        <v>100</v>
      </c>
      <c r="C135" s="20" t="s">
        <v>361</v>
      </c>
      <c r="D135" s="20" t="s">
        <v>32</v>
      </c>
      <c r="E135" s="20" t="n">
        <v>3000</v>
      </c>
      <c r="F135" s="21"/>
      <c r="G135" s="0" t="n">
        <f aca="false">IF(D135="Mono&amp;Dual",MIN(E135,F135)*2,MIN(E135,F135))</f>
        <v>3000</v>
      </c>
    </row>
    <row r="136" customFormat="false" ht="15" hidden="false" customHeight="false" outlineLevel="0" collapsed="false">
      <c r="A136" s="16" t="n">
        <v>7</v>
      </c>
      <c r="B136" s="17" t="n">
        <v>100</v>
      </c>
      <c r="C136" s="17" t="s">
        <v>362</v>
      </c>
      <c r="D136" s="17" t="s">
        <v>32</v>
      </c>
      <c r="E136" s="17" t="n">
        <v>3000</v>
      </c>
      <c r="F136" s="18"/>
      <c r="G136" s="0" t="n">
        <f aca="false">IF(D136="Mono&amp;Dual",MIN(E136,F136)*2,MIN(E136,F136))</f>
        <v>3000</v>
      </c>
    </row>
    <row r="137" customFormat="false" ht="15" hidden="false" customHeight="false" outlineLevel="0" collapsed="false">
      <c r="A137" s="19" t="n">
        <v>7</v>
      </c>
      <c r="B137" s="20" t="n">
        <v>100</v>
      </c>
      <c r="C137" s="20" t="s">
        <v>363</v>
      </c>
      <c r="D137" s="20" t="s">
        <v>32</v>
      </c>
      <c r="E137" s="20" t="n">
        <v>3000</v>
      </c>
      <c r="F137" s="21"/>
      <c r="G137" s="0" t="n">
        <f aca="false">IF(D137="Mono&amp;Dual",MIN(E137,F137)*2,MIN(E137,F137))</f>
        <v>3000</v>
      </c>
    </row>
    <row r="138" customFormat="false" ht="15" hidden="false" customHeight="false" outlineLevel="0" collapsed="false">
      <c r="A138" s="16" t="n">
        <v>7</v>
      </c>
      <c r="B138" s="17" t="n">
        <v>100</v>
      </c>
      <c r="C138" s="17" t="s">
        <v>364</v>
      </c>
      <c r="D138" s="17" t="s">
        <v>32</v>
      </c>
      <c r="E138" s="17" t="n">
        <v>3000</v>
      </c>
      <c r="F138" s="18"/>
      <c r="G138" s="0" t="n">
        <f aca="false">IF(D138="Mono&amp;Dual",MIN(E138,F138)*2,MIN(E138,F138))</f>
        <v>3000</v>
      </c>
    </row>
    <row r="139" customFormat="false" ht="15" hidden="false" customHeight="false" outlineLevel="0" collapsed="false">
      <c r="A139" s="19" t="n">
        <v>7</v>
      </c>
      <c r="B139" s="20" t="n">
        <v>100</v>
      </c>
      <c r="C139" s="20" t="s">
        <v>365</v>
      </c>
      <c r="D139" s="20" t="s">
        <v>32</v>
      </c>
      <c r="E139" s="20" t="n">
        <v>3000</v>
      </c>
      <c r="F139" s="21"/>
      <c r="G139" s="0" t="n">
        <f aca="false">IF(D139="Mono&amp;Dual",MIN(E139,F139)*2,MIN(E139,F139))</f>
        <v>3000</v>
      </c>
    </row>
    <row r="140" customFormat="false" ht="15" hidden="false" customHeight="false" outlineLevel="0" collapsed="false">
      <c r="A140" s="16" t="n">
        <v>7</v>
      </c>
      <c r="B140" s="17" t="n">
        <v>100</v>
      </c>
      <c r="C140" s="17" t="s">
        <v>366</v>
      </c>
      <c r="D140" s="17" t="s">
        <v>32</v>
      </c>
      <c r="E140" s="17" t="n">
        <v>3000</v>
      </c>
      <c r="F140" s="18"/>
      <c r="G140" s="0" t="n">
        <f aca="false">IF(D140="Mono&amp;Dual",MIN(E140,F140)*2,MIN(E140,F140))</f>
        <v>3000</v>
      </c>
    </row>
    <row r="141" customFormat="false" ht="15" hidden="false" customHeight="false" outlineLevel="0" collapsed="false">
      <c r="A141" s="19" t="n">
        <v>7</v>
      </c>
      <c r="B141" s="20" t="n">
        <v>100</v>
      </c>
      <c r="C141" s="20" t="s">
        <v>367</v>
      </c>
      <c r="D141" s="20" t="s">
        <v>32</v>
      </c>
      <c r="E141" s="20" t="n">
        <v>3000</v>
      </c>
      <c r="F141" s="21"/>
      <c r="G141" s="0" t="n">
        <f aca="false">IF(D141="Mono&amp;Dual",MIN(E141,F141)*2,MIN(E141,F141))</f>
        <v>3000</v>
      </c>
    </row>
    <row r="142" customFormat="false" ht="15" hidden="false" customHeight="false" outlineLevel="0" collapsed="false">
      <c r="A142" s="16" t="n">
        <v>7</v>
      </c>
      <c r="B142" s="17" t="n">
        <v>100</v>
      </c>
      <c r="C142" s="17" t="s">
        <v>368</v>
      </c>
      <c r="D142" s="17" t="s">
        <v>32</v>
      </c>
      <c r="E142" s="17" t="n">
        <v>3000</v>
      </c>
      <c r="F142" s="18"/>
      <c r="G142" s="0" t="n">
        <f aca="false">IF(D142="Mono&amp;Dual",MIN(E142,F142)*2,MIN(E142,F142))</f>
        <v>3000</v>
      </c>
    </row>
    <row r="143" customFormat="false" ht="15" hidden="false" customHeight="false" outlineLevel="0" collapsed="false">
      <c r="A143" s="19" t="n">
        <v>7</v>
      </c>
      <c r="B143" s="20" t="n">
        <v>100</v>
      </c>
      <c r="C143" s="20" t="s">
        <v>369</v>
      </c>
      <c r="D143" s="20" t="s">
        <v>32</v>
      </c>
      <c r="E143" s="20" t="n">
        <v>3000</v>
      </c>
      <c r="F143" s="21"/>
      <c r="G143" s="0" t="n">
        <f aca="false">IF(D143="Mono&amp;Dual",MIN(E143,F143)*2,MIN(E143,F143))</f>
        <v>3000</v>
      </c>
    </row>
    <row r="144" customFormat="false" ht="15" hidden="false" customHeight="false" outlineLevel="0" collapsed="false">
      <c r="A144" s="16" t="n">
        <v>7</v>
      </c>
      <c r="B144" s="17" t="n">
        <v>100</v>
      </c>
      <c r="C144" s="17" t="s">
        <v>370</v>
      </c>
      <c r="D144" s="17" t="s">
        <v>32</v>
      </c>
      <c r="E144" s="17" t="n">
        <v>3000</v>
      </c>
      <c r="F144" s="18"/>
      <c r="G144" s="0" t="n">
        <f aca="false">IF(D144="Mono&amp;Dual",MIN(E144,F144)*2,MIN(E144,F144))</f>
        <v>3000</v>
      </c>
    </row>
    <row r="145" customFormat="false" ht="15" hidden="false" customHeight="false" outlineLevel="0" collapsed="false">
      <c r="A145" s="19" t="n">
        <v>7</v>
      </c>
      <c r="B145" s="20" t="n">
        <v>100</v>
      </c>
      <c r="C145" s="20" t="s">
        <v>371</v>
      </c>
      <c r="D145" s="20" t="s">
        <v>32</v>
      </c>
      <c r="E145" s="20" t="n">
        <v>3000</v>
      </c>
      <c r="F145" s="21"/>
      <c r="G145" s="0" t="n">
        <f aca="false">IF(D145="Mono&amp;Dual",MIN(E145,F145)*2,MIN(E145,F145))</f>
        <v>3000</v>
      </c>
    </row>
    <row r="146" customFormat="false" ht="15" hidden="false" customHeight="false" outlineLevel="0" collapsed="false">
      <c r="A146" s="16" t="n">
        <v>7</v>
      </c>
      <c r="B146" s="17" t="n">
        <v>100</v>
      </c>
      <c r="C146" s="17" t="s">
        <v>372</v>
      </c>
      <c r="D146" s="17" t="s">
        <v>32</v>
      </c>
      <c r="E146" s="17" t="n">
        <v>3000</v>
      </c>
      <c r="F146" s="18"/>
      <c r="G146" s="0" t="n">
        <f aca="false">IF(D146="Mono&amp;Dual",MIN(E146,F146)*2,MIN(E146,F146))</f>
        <v>3000</v>
      </c>
    </row>
    <row r="147" customFormat="false" ht="15" hidden="false" customHeight="false" outlineLevel="0" collapsed="false">
      <c r="A147" s="19" t="n">
        <v>7</v>
      </c>
      <c r="B147" s="20" t="n">
        <v>100</v>
      </c>
      <c r="C147" s="20" t="s">
        <v>217</v>
      </c>
      <c r="D147" s="20" t="s">
        <v>32</v>
      </c>
      <c r="E147" s="20" t="n">
        <v>3000</v>
      </c>
      <c r="F147" s="21"/>
      <c r="G147" s="0" t="n">
        <f aca="false">IF(D147="Mono&amp;Dual",MIN(E147,F147)*2,MIN(E147,F147))</f>
        <v>3000</v>
      </c>
    </row>
    <row r="148" customFormat="false" ht="15" hidden="false" customHeight="false" outlineLevel="0" collapsed="false">
      <c r="A148" s="16" t="n">
        <v>7</v>
      </c>
      <c r="B148" s="17" t="n">
        <v>100</v>
      </c>
      <c r="C148" s="17" t="s">
        <v>218</v>
      </c>
      <c r="D148" s="17" t="s">
        <v>32</v>
      </c>
      <c r="E148" s="17" t="n">
        <v>3000</v>
      </c>
      <c r="F148" s="18"/>
      <c r="G148" s="0" t="n">
        <f aca="false">IF(D148="Mono&amp;Dual",MIN(E148,F148)*2,MIN(E148,F148))</f>
        <v>3000</v>
      </c>
    </row>
    <row r="149" customFormat="false" ht="15" hidden="false" customHeight="false" outlineLevel="0" collapsed="false">
      <c r="A149" s="19" t="n">
        <v>7</v>
      </c>
      <c r="B149" s="20" t="n">
        <v>100</v>
      </c>
      <c r="C149" s="20" t="s">
        <v>219</v>
      </c>
      <c r="D149" s="20" t="s">
        <v>32</v>
      </c>
      <c r="E149" s="20" t="n">
        <v>3000</v>
      </c>
      <c r="F149" s="21"/>
      <c r="G149" s="0" t="n">
        <f aca="false">IF(D149="Mono&amp;Dual",MIN(E149,F149)*2,MIN(E149,F149))</f>
        <v>3000</v>
      </c>
    </row>
    <row r="150" customFormat="false" ht="15" hidden="false" customHeight="false" outlineLevel="0" collapsed="false">
      <c r="A150" s="16" t="n">
        <v>7</v>
      </c>
      <c r="B150" s="17" t="n">
        <v>100</v>
      </c>
      <c r="C150" s="17" t="s">
        <v>220</v>
      </c>
      <c r="D150" s="17" t="s">
        <v>32</v>
      </c>
      <c r="E150" s="17" t="n">
        <v>3000</v>
      </c>
      <c r="F150" s="18"/>
      <c r="G150" s="0" t="n">
        <f aca="false">IF(D150="Mono&amp;Dual",MIN(E150,F150)*2,MIN(E150,F150))</f>
        <v>3000</v>
      </c>
    </row>
    <row r="151" customFormat="false" ht="15" hidden="false" customHeight="false" outlineLevel="0" collapsed="false">
      <c r="A151" s="19" t="n">
        <v>7</v>
      </c>
      <c r="B151" s="20" t="n">
        <v>100</v>
      </c>
      <c r="C151" s="20" t="s">
        <v>221</v>
      </c>
      <c r="D151" s="20" t="s">
        <v>32</v>
      </c>
      <c r="E151" s="20" t="n">
        <v>3000</v>
      </c>
      <c r="F151" s="21"/>
      <c r="G151" s="0" t="n">
        <f aca="false">IF(D151="Mono&amp;Dual",MIN(E151,F151)*2,MIN(E151,F151))</f>
        <v>3000</v>
      </c>
    </row>
    <row r="152" customFormat="false" ht="15" hidden="false" customHeight="false" outlineLevel="0" collapsed="false">
      <c r="A152" s="16" t="n">
        <v>7</v>
      </c>
      <c r="B152" s="17" t="n">
        <v>100</v>
      </c>
      <c r="C152" s="17" t="s">
        <v>222</v>
      </c>
      <c r="D152" s="17" t="s">
        <v>32</v>
      </c>
      <c r="E152" s="17" t="n">
        <v>3000</v>
      </c>
      <c r="F152" s="18"/>
      <c r="G152" s="0" t="n">
        <f aca="false">IF(D152="Mono&amp;Dual",MIN(E152,F152)*2,MIN(E152,F152))</f>
        <v>3000</v>
      </c>
    </row>
    <row r="153" customFormat="false" ht="15" hidden="false" customHeight="false" outlineLevel="0" collapsed="false">
      <c r="A153" s="19" t="n">
        <v>7</v>
      </c>
      <c r="B153" s="20" t="n">
        <v>100</v>
      </c>
      <c r="C153" s="20" t="s">
        <v>225</v>
      </c>
      <c r="D153" s="20" t="s">
        <v>32</v>
      </c>
      <c r="E153" s="20" t="n">
        <v>3000</v>
      </c>
      <c r="F153" s="21"/>
      <c r="G153" s="0" t="n">
        <f aca="false">IF(D153="Mono&amp;Dual",MIN(E153,F153)*2,MIN(E153,F153))</f>
        <v>3000</v>
      </c>
    </row>
    <row r="154" customFormat="false" ht="15" hidden="false" customHeight="false" outlineLevel="0" collapsed="false">
      <c r="A154" s="16" t="n">
        <v>7</v>
      </c>
      <c r="B154" s="17" t="n">
        <v>100</v>
      </c>
      <c r="C154" s="17" t="s">
        <v>226</v>
      </c>
      <c r="D154" s="17" t="s">
        <v>32</v>
      </c>
      <c r="E154" s="17" t="n">
        <v>3000</v>
      </c>
      <c r="F154" s="18"/>
      <c r="G154" s="0" t="n">
        <f aca="false">IF(D154="Mono&amp;Dual",MIN(E154,F154)*2,MIN(E154,F154))</f>
        <v>3000</v>
      </c>
    </row>
    <row r="155" customFormat="false" ht="15" hidden="false" customHeight="false" outlineLevel="0" collapsed="false">
      <c r="A155" s="19" t="n">
        <v>7</v>
      </c>
      <c r="B155" s="20" t="n">
        <v>100</v>
      </c>
      <c r="C155" s="20" t="s">
        <v>227</v>
      </c>
      <c r="D155" s="20" t="s">
        <v>32</v>
      </c>
      <c r="E155" s="20" t="n">
        <v>3000</v>
      </c>
      <c r="F155" s="21"/>
      <c r="G155" s="0" t="n">
        <f aca="false">IF(D155="Mono&amp;Dual",MIN(E155,F155)*2,MIN(E155,F155))</f>
        <v>3000</v>
      </c>
    </row>
    <row r="156" customFormat="false" ht="15" hidden="false" customHeight="false" outlineLevel="0" collapsed="false">
      <c r="A156" s="16" t="n">
        <v>7</v>
      </c>
      <c r="B156" s="17" t="n">
        <v>100</v>
      </c>
      <c r="C156" s="17" t="s">
        <v>228</v>
      </c>
      <c r="D156" s="17" t="s">
        <v>32</v>
      </c>
      <c r="E156" s="17" t="n">
        <v>3000</v>
      </c>
      <c r="F156" s="18"/>
      <c r="G156" s="0" t="n">
        <f aca="false">IF(D156="Mono&amp;Dual",MIN(E156,F156)*2,MIN(E156,F156))</f>
        <v>3000</v>
      </c>
    </row>
    <row r="157" customFormat="false" ht="15" hidden="false" customHeight="false" outlineLevel="0" collapsed="false">
      <c r="A157" s="19" t="n">
        <v>7</v>
      </c>
      <c r="B157" s="20" t="n">
        <v>100</v>
      </c>
      <c r="C157" s="20" t="s">
        <v>229</v>
      </c>
      <c r="D157" s="20" t="s">
        <v>32</v>
      </c>
      <c r="E157" s="20" t="n">
        <v>3000</v>
      </c>
      <c r="F157" s="21"/>
      <c r="G157" s="0" t="n">
        <f aca="false">IF(D157="Mono&amp;Dual",MIN(E157,F157)*2,MIN(E157,F157))</f>
        <v>3000</v>
      </c>
    </row>
    <row r="158" customFormat="false" ht="15" hidden="false" customHeight="false" outlineLevel="0" collapsed="false">
      <c r="A158" s="16" t="n">
        <v>7</v>
      </c>
      <c r="B158" s="17" t="n">
        <v>100</v>
      </c>
      <c r="C158" s="17" t="s">
        <v>230</v>
      </c>
      <c r="D158" s="17" t="s">
        <v>32</v>
      </c>
      <c r="E158" s="17" t="n">
        <v>3000</v>
      </c>
      <c r="F158" s="18"/>
      <c r="G158" s="0" t="n">
        <f aca="false">IF(D158="Mono&amp;Dual",MIN(E158,F158)*2,MIN(E158,F158))</f>
        <v>3000</v>
      </c>
    </row>
    <row r="159" customFormat="false" ht="15" hidden="false" customHeight="false" outlineLevel="0" collapsed="false">
      <c r="A159" s="19" t="n">
        <v>7</v>
      </c>
      <c r="B159" s="20" t="n">
        <v>100</v>
      </c>
      <c r="C159" s="20" t="s">
        <v>247</v>
      </c>
      <c r="D159" s="20" t="s">
        <v>32</v>
      </c>
      <c r="E159" s="20" t="n">
        <v>3000</v>
      </c>
      <c r="F159" s="21"/>
      <c r="G159" s="0" t="n">
        <f aca="false">IF(D159="Mono&amp;Dual",MIN(E159,F159)*2,MIN(E159,F159))</f>
        <v>3000</v>
      </c>
    </row>
    <row r="160" customFormat="false" ht="15" hidden="false" customHeight="false" outlineLevel="0" collapsed="false">
      <c r="A160" s="16" t="n">
        <v>7</v>
      </c>
      <c r="B160" s="17" t="n">
        <v>100</v>
      </c>
      <c r="C160" s="17" t="s">
        <v>248</v>
      </c>
      <c r="D160" s="17" t="s">
        <v>32</v>
      </c>
      <c r="E160" s="17" t="n">
        <v>3000</v>
      </c>
      <c r="F160" s="18"/>
      <c r="G160" s="0" t="n">
        <f aca="false">IF(D160="Mono&amp;Dual",MIN(E160,F160)*2,MIN(E160,F160))</f>
        <v>3000</v>
      </c>
    </row>
    <row r="161" customFormat="false" ht="15" hidden="false" customHeight="false" outlineLevel="0" collapsed="false">
      <c r="A161" s="19" t="n">
        <v>7</v>
      </c>
      <c r="B161" s="20" t="n">
        <v>100</v>
      </c>
      <c r="C161" s="20" t="s">
        <v>249</v>
      </c>
      <c r="D161" s="20" t="s">
        <v>32</v>
      </c>
      <c r="E161" s="20" t="n">
        <v>3000</v>
      </c>
      <c r="F161" s="21"/>
      <c r="G161" s="0" t="n">
        <f aca="false">IF(D161="Mono&amp;Dual",MIN(E161,F161)*2,MIN(E161,F161))</f>
        <v>3000</v>
      </c>
    </row>
    <row r="162" customFormat="false" ht="15" hidden="false" customHeight="false" outlineLevel="0" collapsed="false">
      <c r="A162" s="16" t="n">
        <v>7</v>
      </c>
      <c r="B162" s="17" t="n">
        <v>100</v>
      </c>
      <c r="C162" s="17" t="s">
        <v>250</v>
      </c>
      <c r="D162" s="17" t="s">
        <v>32</v>
      </c>
      <c r="E162" s="17" t="n">
        <v>3000</v>
      </c>
      <c r="F162" s="18"/>
      <c r="G162" s="0" t="n">
        <f aca="false">IF(D162="Mono&amp;Dual",MIN(E162,F162)*2,MIN(E162,F162))</f>
        <v>3000</v>
      </c>
    </row>
    <row r="163" customFormat="false" ht="15" hidden="false" customHeight="false" outlineLevel="0" collapsed="false">
      <c r="A163" s="19" t="n">
        <v>7</v>
      </c>
      <c r="B163" s="20" t="n">
        <v>100</v>
      </c>
      <c r="C163" s="20" t="s">
        <v>251</v>
      </c>
      <c r="D163" s="20" t="s">
        <v>32</v>
      </c>
      <c r="E163" s="20" t="n">
        <v>3000</v>
      </c>
      <c r="F163" s="21"/>
      <c r="G163" s="0" t="n">
        <f aca="false">IF(D163="Mono&amp;Dual",MIN(E163,F163)*2,MIN(E163,F163))</f>
        <v>3000</v>
      </c>
    </row>
    <row r="164" customFormat="false" ht="15" hidden="false" customHeight="false" outlineLevel="0" collapsed="false">
      <c r="A164" s="16" t="n">
        <v>7</v>
      </c>
      <c r="B164" s="17" t="n">
        <v>100</v>
      </c>
      <c r="C164" s="17" t="s">
        <v>252</v>
      </c>
      <c r="D164" s="17" t="s">
        <v>32</v>
      </c>
      <c r="E164" s="17" t="n">
        <v>3000</v>
      </c>
      <c r="F164" s="18"/>
      <c r="G164" s="0" t="n">
        <f aca="false">IF(D164="Mono&amp;Dual",MIN(E164,F164)*2,MIN(E164,F164))</f>
        <v>3000</v>
      </c>
    </row>
    <row r="165" customFormat="false" ht="15" hidden="false" customHeight="false" outlineLevel="0" collapsed="false">
      <c r="A165" s="19" t="n">
        <v>7</v>
      </c>
      <c r="B165" s="20" t="n">
        <v>100</v>
      </c>
      <c r="C165" s="20" t="s">
        <v>253</v>
      </c>
      <c r="D165" s="20" t="s">
        <v>32</v>
      </c>
      <c r="E165" s="20" t="n">
        <v>3000</v>
      </c>
      <c r="F165" s="21"/>
      <c r="G165" s="0" t="n">
        <f aca="false">IF(D165="Mono&amp;Dual",MIN(E165,F165)*2,MIN(E165,F165))</f>
        <v>3000</v>
      </c>
    </row>
    <row r="166" customFormat="false" ht="15" hidden="false" customHeight="false" outlineLevel="0" collapsed="false">
      <c r="A166" s="16" t="n">
        <v>7</v>
      </c>
      <c r="B166" s="17" t="n">
        <v>100</v>
      </c>
      <c r="C166" s="17" t="s">
        <v>254</v>
      </c>
      <c r="D166" s="17" t="s">
        <v>32</v>
      </c>
      <c r="E166" s="17" t="n">
        <v>3000</v>
      </c>
      <c r="F166" s="18"/>
      <c r="G166" s="0" t="n">
        <f aca="false">IF(D166="Mono&amp;Dual",MIN(E166,F166)*2,MIN(E166,F166))</f>
        <v>3000</v>
      </c>
    </row>
    <row r="167" customFormat="false" ht="15" hidden="false" customHeight="false" outlineLevel="0" collapsed="false">
      <c r="A167" s="19" t="n">
        <v>7</v>
      </c>
      <c r="B167" s="20" t="n">
        <v>100</v>
      </c>
      <c r="C167" s="20" t="s">
        <v>255</v>
      </c>
      <c r="D167" s="20" t="s">
        <v>32</v>
      </c>
      <c r="E167" s="20" t="n">
        <v>3000</v>
      </c>
      <c r="F167" s="21"/>
      <c r="G167" s="0" t="n">
        <f aca="false">IF(D167="Mono&amp;Dual",MIN(E167,F167)*2,MIN(E167,F167))</f>
        <v>3000</v>
      </c>
    </row>
    <row r="168" customFormat="false" ht="15" hidden="false" customHeight="false" outlineLevel="0" collapsed="false">
      <c r="A168" s="16" t="n">
        <v>7</v>
      </c>
      <c r="B168" s="17" t="n">
        <v>100</v>
      </c>
      <c r="C168" s="17" t="s">
        <v>256</v>
      </c>
      <c r="D168" s="17" t="s">
        <v>32</v>
      </c>
      <c r="E168" s="17" t="n">
        <v>3000</v>
      </c>
      <c r="F168" s="18"/>
      <c r="G168" s="0" t="n">
        <f aca="false">IF(D168="Mono&amp;Dual",MIN(E168,F168)*2,MIN(E168,F168))</f>
        <v>3000</v>
      </c>
    </row>
    <row r="169" customFormat="false" ht="15" hidden="false" customHeight="false" outlineLevel="0" collapsed="false">
      <c r="A169" s="19" t="n">
        <v>7</v>
      </c>
      <c r="B169" s="20" t="n">
        <v>100</v>
      </c>
      <c r="C169" s="20" t="s">
        <v>257</v>
      </c>
      <c r="D169" s="20" t="s">
        <v>32</v>
      </c>
      <c r="E169" s="20" t="n">
        <v>3000</v>
      </c>
      <c r="F169" s="21"/>
      <c r="G169" s="0" t="n">
        <f aca="false">IF(D169="Mono&amp;Dual",MIN(E169,F169)*2,MIN(E169,F169))</f>
        <v>3000</v>
      </c>
    </row>
    <row r="170" customFormat="false" ht="15" hidden="false" customHeight="false" outlineLevel="0" collapsed="false">
      <c r="A170" s="16" t="n">
        <v>7</v>
      </c>
      <c r="B170" s="17" t="n">
        <v>100</v>
      </c>
      <c r="C170" s="17" t="s">
        <v>258</v>
      </c>
      <c r="D170" s="17" t="s">
        <v>32</v>
      </c>
      <c r="E170" s="17" t="n">
        <v>3000</v>
      </c>
      <c r="F170" s="18"/>
      <c r="G170" s="0" t="n">
        <f aca="false">IF(D170="Mono&amp;Dual",MIN(E170,F170)*2,MIN(E170,F170))</f>
        <v>3000</v>
      </c>
    </row>
    <row r="171" customFormat="false" ht="15" hidden="false" customHeight="false" outlineLevel="0" collapsed="false">
      <c r="A171" s="19" t="n">
        <v>7</v>
      </c>
      <c r="B171" s="20" t="n">
        <v>100</v>
      </c>
      <c r="C171" s="20" t="s">
        <v>259</v>
      </c>
      <c r="D171" s="20" t="s">
        <v>32</v>
      </c>
      <c r="E171" s="20" t="n">
        <v>3000</v>
      </c>
      <c r="F171" s="21"/>
      <c r="G171" s="0" t="n">
        <f aca="false">IF(D171="Mono&amp;Dual",MIN(E171,F171)*2,MIN(E171,F171))</f>
        <v>3000</v>
      </c>
    </row>
    <row r="172" customFormat="false" ht="15" hidden="false" customHeight="false" outlineLevel="0" collapsed="false">
      <c r="A172" s="16" t="n">
        <v>7</v>
      </c>
      <c r="B172" s="17" t="n">
        <v>100</v>
      </c>
      <c r="C172" s="17" t="s">
        <v>260</v>
      </c>
      <c r="D172" s="17" t="s">
        <v>32</v>
      </c>
      <c r="E172" s="17" t="n">
        <v>3000</v>
      </c>
      <c r="F172" s="18"/>
      <c r="G172" s="0" t="n">
        <f aca="false">IF(D172="Mono&amp;Dual",MIN(E172,F172)*2,MIN(E172,F172))</f>
        <v>3000</v>
      </c>
    </row>
    <row r="173" customFormat="false" ht="15" hidden="false" customHeight="false" outlineLevel="0" collapsed="false">
      <c r="A173" s="19" t="n">
        <v>7</v>
      </c>
      <c r="B173" s="20" t="n">
        <v>100</v>
      </c>
      <c r="C173" s="20" t="s">
        <v>261</v>
      </c>
      <c r="D173" s="20" t="s">
        <v>32</v>
      </c>
      <c r="E173" s="20" t="n">
        <v>3000</v>
      </c>
      <c r="F173" s="21"/>
      <c r="G173" s="0" t="n">
        <f aca="false">IF(D173="Mono&amp;Dual",MIN(E173,F173)*2,MIN(E173,F173))</f>
        <v>3000</v>
      </c>
    </row>
    <row r="174" customFormat="false" ht="15" hidden="false" customHeight="false" outlineLevel="0" collapsed="false">
      <c r="A174" s="16" t="n">
        <v>7</v>
      </c>
      <c r="B174" s="17" t="n">
        <v>100</v>
      </c>
      <c r="C174" s="17" t="s">
        <v>262</v>
      </c>
      <c r="D174" s="17" t="s">
        <v>32</v>
      </c>
      <c r="E174" s="17" t="n">
        <v>3000</v>
      </c>
      <c r="F174" s="18"/>
      <c r="G174" s="0" t="n">
        <f aca="false">IF(D174="Mono&amp;Dual",MIN(E174,F174)*2,MIN(E174,F174))</f>
        <v>3000</v>
      </c>
    </row>
    <row r="175" customFormat="false" ht="15" hidden="false" customHeight="false" outlineLevel="0" collapsed="false">
      <c r="A175" s="19" t="n">
        <v>7</v>
      </c>
      <c r="B175" s="20" t="n">
        <v>100</v>
      </c>
      <c r="C175" s="20" t="s">
        <v>263</v>
      </c>
      <c r="D175" s="20" t="s">
        <v>32</v>
      </c>
      <c r="E175" s="20" t="n">
        <v>3000</v>
      </c>
      <c r="F175" s="21"/>
      <c r="G175" s="0" t="n">
        <f aca="false">IF(D175="Mono&amp;Dual",MIN(E175,F175)*2,MIN(E175,F175))</f>
        <v>3000</v>
      </c>
    </row>
    <row r="176" customFormat="false" ht="15" hidden="false" customHeight="false" outlineLevel="0" collapsed="false">
      <c r="A176" s="16" t="n">
        <v>7</v>
      </c>
      <c r="B176" s="17" t="n">
        <v>100</v>
      </c>
      <c r="C176" s="17" t="s">
        <v>264</v>
      </c>
      <c r="D176" s="17" t="s">
        <v>32</v>
      </c>
      <c r="E176" s="17" t="n">
        <v>3000</v>
      </c>
      <c r="F176" s="18"/>
      <c r="G176" s="0" t="n">
        <f aca="false">IF(D176="Mono&amp;Dual",MIN(E176,F176)*2,MIN(E176,F176))</f>
        <v>3000</v>
      </c>
    </row>
    <row r="177" customFormat="false" ht="15" hidden="false" customHeight="false" outlineLevel="0" collapsed="false">
      <c r="A177" s="19" t="n">
        <v>7</v>
      </c>
      <c r="B177" s="20" t="n">
        <v>100</v>
      </c>
      <c r="C177" s="20" t="s">
        <v>265</v>
      </c>
      <c r="D177" s="20" t="s">
        <v>32</v>
      </c>
      <c r="E177" s="20" t="n">
        <v>3000</v>
      </c>
      <c r="F177" s="21"/>
      <c r="G177" s="0" t="n">
        <f aca="false">IF(D177="Mono&amp;Dual",MIN(E177,F177)*2,MIN(E177,F177))</f>
        <v>3000</v>
      </c>
    </row>
    <row r="178" customFormat="false" ht="15" hidden="false" customHeight="false" outlineLevel="0" collapsed="false">
      <c r="A178" s="16" t="n">
        <v>7</v>
      </c>
      <c r="B178" s="17" t="n">
        <v>100</v>
      </c>
      <c r="C178" s="17" t="s">
        <v>266</v>
      </c>
      <c r="D178" s="17" t="s">
        <v>32</v>
      </c>
      <c r="E178" s="17" t="n">
        <v>3000</v>
      </c>
      <c r="F178" s="18"/>
      <c r="G178" s="0" t="n">
        <f aca="false">IF(D178="Mono&amp;Dual",MIN(E178,F178)*2,MIN(E178,F178))</f>
        <v>3000</v>
      </c>
    </row>
    <row r="179" customFormat="false" ht="15" hidden="false" customHeight="false" outlineLevel="0" collapsed="false">
      <c r="A179" s="19" t="n">
        <v>7</v>
      </c>
      <c r="B179" s="20" t="n">
        <v>100</v>
      </c>
      <c r="C179" s="20" t="s">
        <v>267</v>
      </c>
      <c r="D179" s="20" t="s">
        <v>32</v>
      </c>
      <c r="E179" s="20" t="n">
        <v>3000</v>
      </c>
      <c r="F179" s="21"/>
      <c r="G179" s="0" t="n">
        <f aca="false">IF(D179="Mono&amp;Dual",MIN(E179,F179)*2,MIN(E179,F179))</f>
        <v>3000</v>
      </c>
    </row>
    <row r="180" customFormat="false" ht="15" hidden="false" customHeight="false" outlineLevel="0" collapsed="false">
      <c r="A180" s="16" t="n">
        <v>7</v>
      </c>
      <c r="B180" s="17" t="n">
        <v>100</v>
      </c>
      <c r="C180" s="17" t="s">
        <v>268</v>
      </c>
      <c r="D180" s="17" t="s">
        <v>32</v>
      </c>
      <c r="E180" s="17" t="n">
        <v>3000</v>
      </c>
      <c r="F180" s="18"/>
      <c r="G180" s="0" t="n">
        <f aca="false">IF(D180="Mono&amp;Dual",MIN(E180,F180)*2,MIN(E180,F180))</f>
        <v>3000</v>
      </c>
    </row>
    <row r="181" customFormat="false" ht="15" hidden="false" customHeight="false" outlineLevel="0" collapsed="false">
      <c r="A181" s="19" t="n">
        <v>7</v>
      </c>
      <c r="B181" s="20" t="n">
        <v>100</v>
      </c>
      <c r="C181" s="20" t="s">
        <v>269</v>
      </c>
      <c r="D181" s="20" t="s">
        <v>32</v>
      </c>
      <c r="E181" s="20" t="n">
        <v>3000</v>
      </c>
      <c r="F181" s="21"/>
      <c r="G181" s="0" t="n">
        <f aca="false">IF(D181="Mono&amp;Dual",MIN(E181,F181)*2,MIN(E181,F181))</f>
        <v>3000</v>
      </c>
    </row>
    <row r="182" customFormat="false" ht="15" hidden="false" customHeight="false" outlineLevel="0" collapsed="false">
      <c r="A182" s="16" t="n">
        <v>7</v>
      </c>
      <c r="B182" s="17" t="n">
        <v>100</v>
      </c>
      <c r="C182" s="17" t="s">
        <v>270</v>
      </c>
      <c r="D182" s="17" t="s">
        <v>32</v>
      </c>
      <c r="E182" s="17" t="n">
        <v>3000</v>
      </c>
      <c r="F182" s="18"/>
      <c r="G182" s="0" t="n">
        <f aca="false">IF(D182="Mono&amp;Dual",MIN(E182,F182)*2,MIN(E182,F182))</f>
        <v>3000</v>
      </c>
    </row>
    <row r="183" customFormat="false" ht="15" hidden="false" customHeight="false" outlineLevel="0" collapsed="false">
      <c r="A183" s="19" t="n">
        <v>7</v>
      </c>
      <c r="B183" s="20" t="n">
        <v>100</v>
      </c>
      <c r="C183" s="20" t="s">
        <v>271</v>
      </c>
      <c r="D183" s="20" t="s">
        <v>32</v>
      </c>
      <c r="E183" s="20" t="n">
        <v>3000</v>
      </c>
      <c r="F183" s="21"/>
      <c r="G183" s="0" t="n">
        <f aca="false">IF(D183="Mono&amp;Dual",MIN(E183,F183)*2,MIN(E183,F183))</f>
        <v>3000</v>
      </c>
    </row>
    <row r="184" customFormat="false" ht="15" hidden="false" customHeight="false" outlineLevel="0" collapsed="false">
      <c r="A184" s="16" t="n">
        <v>7</v>
      </c>
      <c r="B184" s="17" t="n">
        <v>100</v>
      </c>
      <c r="C184" s="17" t="s">
        <v>272</v>
      </c>
      <c r="D184" s="17" t="s">
        <v>32</v>
      </c>
      <c r="E184" s="17" t="n">
        <v>3000</v>
      </c>
      <c r="F184" s="18"/>
      <c r="G184" s="0" t="n">
        <f aca="false">IF(D184="Mono&amp;Dual",MIN(E184,F184)*2,MIN(E184,F184))</f>
        <v>3000</v>
      </c>
    </row>
    <row r="185" customFormat="false" ht="15" hidden="false" customHeight="false" outlineLevel="0" collapsed="false">
      <c r="A185" s="19" t="n">
        <v>7</v>
      </c>
      <c r="B185" s="20" t="n">
        <v>100</v>
      </c>
      <c r="C185" s="20" t="s">
        <v>273</v>
      </c>
      <c r="D185" s="20" t="s">
        <v>32</v>
      </c>
      <c r="E185" s="20" t="n">
        <v>3000</v>
      </c>
      <c r="F185" s="21"/>
      <c r="G185" s="0" t="n">
        <f aca="false">IF(D185="Mono&amp;Dual",MIN(E185,F185)*2,MIN(E185,F185))</f>
        <v>3000</v>
      </c>
    </row>
    <row r="186" customFormat="false" ht="15" hidden="false" customHeight="false" outlineLevel="0" collapsed="false">
      <c r="A186" s="16" t="n">
        <v>7</v>
      </c>
      <c r="B186" s="17" t="n">
        <v>100</v>
      </c>
      <c r="C186" s="17" t="s">
        <v>274</v>
      </c>
      <c r="D186" s="17" t="s">
        <v>32</v>
      </c>
      <c r="E186" s="17" t="n">
        <v>3000</v>
      </c>
      <c r="F186" s="18"/>
      <c r="G186" s="0" t="n">
        <f aca="false">IF(D186="Mono&amp;Dual",MIN(E186,F186)*2,MIN(E186,F186))</f>
        <v>3000</v>
      </c>
    </row>
    <row r="187" customFormat="false" ht="15" hidden="false" customHeight="false" outlineLevel="0" collapsed="false">
      <c r="A187" s="19" t="n">
        <v>7</v>
      </c>
      <c r="B187" s="20" t="n">
        <v>100</v>
      </c>
      <c r="C187" s="20" t="s">
        <v>275</v>
      </c>
      <c r="D187" s="20" t="s">
        <v>32</v>
      </c>
      <c r="E187" s="20" t="n">
        <v>3000</v>
      </c>
      <c r="F187" s="21"/>
      <c r="G187" s="0" t="n">
        <f aca="false">IF(D187="Mono&amp;Dual",MIN(E187,F187)*2,MIN(E187,F187))</f>
        <v>3000</v>
      </c>
    </row>
    <row r="188" customFormat="false" ht="15" hidden="false" customHeight="false" outlineLevel="0" collapsed="false">
      <c r="A188" s="16" t="n">
        <v>7</v>
      </c>
      <c r="B188" s="17" t="n">
        <v>100</v>
      </c>
      <c r="C188" s="17" t="s">
        <v>276</v>
      </c>
      <c r="D188" s="17" t="s">
        <v>32</v>
      </c>
      <c r="E188" s="17" t="n">
        <v>3000</v>
      </c>
      <c r="F188" s="18"/>
      <c r="G188" s="0" t="n">
        <f aca="false">IF(D188="Mono&amp;Dual",MIN(E188,F188)*2,MIN(E188,F188))</f>
        <v>3000</v>
      </c>
    </row>
    <row r="189" customFormat="false" ht="15" hidden="false" customHeight="false" outlineLevel="0" collapsed="false">
      <c r="A189" s="19" t="n">
        <v>7</v>
      </c>
      <c r="B189" s="20" t="n">
        <v>100</v>
      </c>
      <c r="C189" s="20" t="s">
        <v>277</v>
      </c>
      <c r="D189" s="20" t="s">
        <v>32</v>
      </c>
      <c r="E189" s="20" t="n">
        <v>3000</v>
      </c>
      <c r="F189" s="21"/>
      <c r="G189" s="0" t="n">
        <f aca="false">IF(D189="Mono&amp;Dual",MIN(E189,F189)*2,MIN(E189,F189))</f>
        <v>3000</v>
      </c>
    </row>
    <row r="190" customFormat="false" ht="15" hidden="false" customHeight="false" outlineLevel="0" collapsed="false">
      <c r="A190" s="16" t="n">
        <v>7</v>
      </c>
      <c r="B190" s="17" t="n">
        <v>100</v>
      </c>
      <c r="C190" s="17" t="s">
        <v>278</v>
      </c>
      <c r="D190" s="17" t="s">
        <v>32</v>
      </c>
      <c r="E190" s="17" t="n">
        <v>3000</v>
      </c>
      <c r="F190" s="18"/>
      <c r="G190" s="0" t="n">
        <f aca="false">IF(D190="Mono&amp;Dual",MIN(E190,F190)*2,MIN(E190,F190))</f>
        <v>3000</v>
      </c>
    </row>
    <row r="191" customFormat="false" ht="15" hidden="false" customHeight="false" outlineLevel="0" collapsed="false">
      <c r="A191" s="19" t="n">
        <v>7</v>
      </c>
      <c r="B191" s="20" t="n">
        <v>100</v>
      </c>
      <c r="C191" s="20" t="s">
        <v>279</v>
      </c>
      <c r="D191" s="20" t="s">
        <v>32</v>
      </c>
      <c r="E191" s="20" t="n">
        <v>3000</v>
      </c>
      <c r="F191" s="21"/>
      <c r="G191" s="0" t="n">
        <f aca="false">IF(D191="Mono&amp;Dual",MIN(E191,F191)*2,MIN(E191,F191))</f>
        <v>3000</v>
      </c>
    </row>
    <row r="192" customFormat="false" ht="15" hidden="false" customHeight="false" outlineLevel="0" collapsed="false">
      <c r="A192" s="16" t="n">
        <v>7</v>
      </c>
      <c r="B192" s="17" t="n">
        <v>100</v>
      </c>
      <c r="C192" s="17" t="s">
        <v>280</v>
      </c>
      <c r="D192" s="17" t="s">
        <v>32</v>
      </c>
      <c r="E192" s="17" t="n">
        <v>3000</v>
      </c>
      <c r="F192" s="18"/>
      <c r="G192" s="0" t="n">
        <f aca="false">IF(D192="Mono&amp;Dual",MIN(E192,F192)*2,MIN(E192,F192))</f>
        <v>3000</v>
      </c>
    </row>
    <row r="193" customFormat="false" ht="15" hidden="false" customHeight="false" outlineLevel="0" collapsed="false">
      <c r="A193" s="19" t="n">
        <v>7</v>
      </c>
      <c r="B193" s="20" t="n">
        <v>100</v>
      </c>
      <c r="C193" s="20" t="s">
        <v>281</v>
      </c>
      <c r="D193" s="20" t="s">
        <v>32</v>
      </c>
      <c r="E193" s="20" t="n">
        <v>3000</v>
      </c>
      <c r="F193" s="21"/>
      <c r="G193" s="0" t="n">
        <f aca="false">IF(D193="Mono&amp;Dual",MIN(E193,F193)*2,MIN(E193,F193))</f>
        <v>3000</v>
      </c>
    </row>
    <row r="194" customFormat="false" ht="15" hidden="false" customHeight="false" outlineLevel="0" collapsed="false">
      <c r="A194" s="16" t="n">
        <v>7</v>
      </c>
      <c r="B194" s="17" t="n">
        <v>100</v>
      </c>
      <c r="C194" s="17" t="s">
        <v>282</v>
      </c>
      <c r="D194" s="17" t="s">
        <v>32</v>
      </c>
      <c r="E194" s="17" t="n">
        <v>3000</v>
      </c>
      <c r="F194" s="18"/>
      <c r="G194" s="0" t="n">
        <f aca="false">IF(D194="Mono&amp;Dual",MIN(E194,F194)*2,MIN(E194,F194))</f>
        <v>3000</v>
      </c>
    </row>
    <row r="195" customFormat="false" ht="15" hidden="false" customHeight="false" outlineLevel="0" collapsed="false">
      <c r="A195" s="19" t="n">
        <v>7</v>
      </c>
      <c r="B195" s="20" t="n">
        <v>100</v>
      </c>
      <c r="C195" s="20" t="s">
        <v>283</v>
      </c>
      <c r="D195" s="20" t="s">
        <v>32</v>
      </c>
      <c r="E195" s="20" t="n">
        <v>3000</v>
      </c>
      <c r="F195" s="21"/>
      <c r="G195" s="0" t="n">
        <f aca="false">IF(D195="Mono&amp;Dual",MIN(E195,F195)*2,MIN(E195,F195))</f>
        <v>3000</v>
      </c>
    </row>
    <row r="196" customFormat="false" ht="15" hidden="false" customHeight="false" outlineLevel="0" collapsed="false">
      <c r="A196" s="16" t="n">
        <v>7</v>
      </c>
      <c r="B196" s="17" t="n">
        <v>100</v>
      </c>
      <c r="C196" s="17" t="s">
        <v>284</v>
      </c>
      <c r="D196" s="17" t="s">
        <v>32</v>
      </c>
      <c r="E196" s="17" t="n">
        <v>3000</v>
      </c>
      <c r="F196" s="18"/>
      <c r="G196" s="0" t="n">
        <f aca="false">IF(D196="Mono&amp;Dual",MIN(E196,F196)*2,MIN(E196,F196))</f>
        <v>3000</v>
      </c>
    </row>
    <row r="197" customFormat="false" ht="15" hidden="false" customHeight="false" outlineLevel="0" collapsed="false">
      <c r="A197" s="19" t="n">
        <v>7</v>
      </c>
      <c r="B197" s="20" t="n">
        <v>100</v>
      </c>
      <c r="C197" s="20" t="s">
        <v>285</v>
      </c>
      <c r="D197" s="20" t="s">
        <v>32</v>
      </c>
      <c r="E197" s="20" t="n">
        <v>3000</v>
      </c>
      <c r="F197" s="21"/>
      <c r="G197" s="0" t="n">
        <f aca="false">IF(D197="Mono&amp;Dual",MIN(E197,F197)*2,MIN(E197,F197))</f>
        <v>3000</v>
      </c>
    </row>
    <row r="198" customFormat="false" ht="15" hidden="false" customHeight="false" outlineLevel="0" collapsed="false">
      <c r="A198" s="16" t="n">
        <v>7</v>
      </c>
      <c r="B198" s="17" t="n">
        <v>100</v>
      </c>
      <c r="C198" s="17" t="s">
        <v>286</v>
      </c>
      <c r="D198" s="17" t="s">
        <v>32</v>
      </c>
      <c r="E198" s="17" t="n">
        <v>3000</v>
      </c>
      <c r="F198" s="18"/>
      <c r="G198" s="0" t="n">
        <f aca="false">IF(D198="Mono&amp;Dual",MIN(E198,F198)*2,MIN(E198,F198))</f>
        <v>3000</v>
      </c>
    </row>
    <row r="199" customFormat="false" ht="15" hidden="false" customHeight="false" outlineLevel="0" collapsed="false">
      <c r="A199" s="19" t="n">
        <v>7</v>
      </c>
      <c r="B199" s="20" t="n">
        <v>100</v>
      </c>
      <c r="C199" s="20" t="s">
        <v>287</v>
      </c>
      <c r="D199" s="20" t="s">
        <v>32</v>
      </c>
      <c r="E199" s="20" t="n">
        <v>3000</v>
      </c>
      <c r="F199" s="21"/>
      <c r="G199" s="0" t="n">
        <f aca="false">IF(D199="Mono&amp;Dual",MIN(E199,F199)*2,MIN(E199,F199))</f>
        <v>3000</v>
      </c>
    </row>
    <row r="200" customFormat="false" ht="15" hidden="false" customHeight="false" outlineLevel="0" collapsed="false">
      <c r="A200" s="16" t="n">
        <v>7</v>
      </c>
      <c r="B200" s="17" t="n">
        <v>100</v>
      </c>
      <c r="C200" s="17" t="s">
        <v>288</v>
      </c>
      <c r="D200" s="17" t="s">
        <v>32</v>
      </c>
      <c r="E200" s="17" t="n">
        <v>3000</v>
      </c>
      <c r="F200" s="18"/>
      <c r="G200" s="0" t="n">
        <f aca="false">IF(D200="Mono&amp;Dual",MIN(E200,F200)*2,MIN(E200,F200))</f>
        <v>3000</v>
      </c>
    </row>
    <row r="201" customFormat="false" ht="15" hidden="false" customHeight="false" outlineLevel="0" collapsed="false">
      <c r="A201" s="19" t="n">
        <v>7</v>
      </c>
      <c r="B201" s="20" t="n">
        <v>100</v>
      </c>
      <c r="C201" s="20" t="s">
        <v>289</v>
      </c>
      <c r="D201" s="20" t="s">
        <v>32</v>
      </c>
      <c r="E201" s="20" t="n">
        <v>3000</v>
      </c>
      <c r="F201" s="21"/>
      <c r="G201" s="0" t="n">
        <f aca="false">IF(D201="Mono&amp;Dual",MIN(E201,F201)*2,MIN(E201,F201))</f>
        <v>3000</v>
      </c>
    </row>
    <row r="202" customFormat="false" ht="15" hidden="false" customHeight="false" outlineLevel="0" collapsed="false">
      <c r="A202" s="16" t="n">
        <v>7</v>
      </c>
      <c r="B202" s="17" t="n">
        <v>100</v>
      </c>
      <c r="C202" s="17" t="s">
        <v>290</v>
      </c>
      <c r="D202" s="17" t="s">
        <v>32</v>
      </c>
      <c r="E202" s="17" t="n">
        <v>3000</v>
      </c>
      <c r="F202" s="18"/>
      <c r="G202" s="0" t="n">
        <f aca="false">IF(D202="Mono&amp;Dual",MIN(E202,F202)*2,MIN(E202,F202))</f>
        <v>3000</v>
      </c>
    </row>
    <row r="203" customFormat="false" ht="15" hidden="false" customHeight="false" outlineLevel="0" collapsed="false">
      <c r="A203" s="19" t="n">
        <v>7</v>
      </c>
      <c r="B203" s="20" t="n">
        <v>100</v>
      </c>
      <c r="C203" s="20" t="s">
        <v>291</v>
      </c>
      <c r="D203" s="20" t="s">
        <v>32</v>
      </c>
      <c r="E203" s="20" t="n">
        <v>3000</v>
      </c>
      <c r="F203" s="21"/>
      <c r="G203" s="0" t="n">
        <f aca="false">IF(D203="Mono&amp;Dual",MIN(E203,F203)*2,MIN(E203,F203))</f>
        <v>3000</v>
      </c>
    </row>
    <row r="204" customFormat="false" ht="15" hidden="false" customHeight="false" outlineLevel="0" collapsed="false">
      <c r="A204" s="16" t="n">
        <v>7</v>
      </c>
      <c r="B204" s="17" t="n">
        <v>100</v>
      </c>
      <c r="C204" s="17" t="s">
        <v>292</v>
      </c>
      <c r="D204" s="17" t="s">
        <v>32</v>
      </c>
      <c r="E204" s="17" t="n">
        <v>3000</v>
      </c>
      <c r="F204" s="18"/>
      <c r="G204" s="0" t="n">
        <f aca="false">IF(D204="Mono&amp;Dual",MIN(E204,F204)*2,MIN(E204,F204))</f>
        <v>3000</v>
      </c>
    </row>
    <row r="205" customFormat="false" ht="15" hidden="false" customHeight="false" outlineLevel="0" collapsed="false">
      <c r="A205" s="19" t="n">
        <v>7</v>
      </c>
      <c r="B205" s="20" t="n">
        <v>100</v>
      </c>
      <c r="C205" s="20" t="s">
        <v>293</v>
      </c>
      <c r="D205" s="20" t="s">
        <v>32</v>
      </c>
      <c r="E205" s="20" t="n">
        <v>3000</v>
      </c>
      <c r="F205" s="21"/>
      <c r="G205" s="0" t="n">
        <f aca="false">IF(D205="Mono&amp;Dual",MIN(E205,F205)*2,MIN(E205,F205))</f>
        <v>3000</v>
      </c>
    </row>
    <row r="206" customFormat="false" ht="15" hidden="false" customHeight="false" outlineLevel="0" collapsed="false">
      <c r="A206" s="16" t="n">
        <v>7</v>
      </c>
      <c r="B206" s="17" t="n">
        <v>100</v>
      </c>
      <c r="C206" s="17" t="s">
        <v>294</v>
      </c>
      <c r="D206" s="17" t="s">
        <v>32</v>
      </c>
      <c r="E206" s="17" t="n">
        <v>3000</v>
      </c>
      <c r="F206" s="18"/>
      <c r="G206" s="0" t="n">
        <f aca="false">IF(D206="Mono&amp;Dual",MIN(E206,F206)*2,MIN(E206,F206))</f>
        <v>3000</v>
      </c>
    </row>
    <row r="207" customFormat="false" ht="15" hidden="false" customHeight="false" outlineLevel="0" collapsed="false">
      <c r="A207" s="19" t="n">
        <v>7</v>
      </c>
      <c r="B207" s="20" t="n">
        <v>100</v>
      </c>
      <c r="C207" s="20" t="s">
        <v>373</v>
      </c>
      <c r="D207" s="20" t="s">
        <v>32</v>
      </c>
      <c r="E207" s="20" t="n">
        <v>3000</v>
      </c>
      <c r="F207" s="21"/>
      <c r="G207" s="0" t="n">
        <f aca="false">IF(D207="Mono&amp;Dual",MIN(E207,F207)*2,MIN(E207,F207))</f>
        <v>3000</v>
      </c>
    </row>
    <row r="208" customFormat="false" ht="15" hidden="false" customHeight="false" outlineLevel="0" collapsed="false">
      <c r="A208" s="16" t="n">
        <v>7</v>
      </c>
      <c r="B208" s="17" t="n">
        <v>100</v>
      </c>
      <c r="C208" s="17" t="s">
        <v>374</v>
      </c>
      <c r="D208" s="17" t="s">
        <v>32</v>
      </c>
      <c r="E208" s="17" t="n">
        <v>3000</v>
      </c>
      <c r="F208" s="18"/>
      <c r="G208" s="0" t="n">
        <f aca="false">IF(D208="Mono&amp;Dual",MIN(E208,F208)*2,MIN(E208,F208))</f>
        <v>3000</v>
      </c>
    </row>
    <row r="209" customFormat="false" ht="15" hidden="false" customHeight="false" outlineLevel="0" collapsed="false">
      <c r="A209" s="19" t="n">
        <v>7</v>
      </c>
      <c r="B209" s="20" t="n">
        <v>100</v>
      </c>
      <c r="C209" s="20" t="s">
        <v>375</v>
      </c>
      <c r="D209" s="20" t="s">
        <v>32</v>
      </c>
      <c r="E209" s="20" t="n">
        <v>3000</v>
      </c>
      <c r="F209" s="21"/>
      <c r="G209" s="0" t="n">
        <f aca="false">IF(D209="Mono&amp;Dual",MIN(E209,F209)*2,MIN(E209,F209))</f>
        <v>3000</v>
      </c>
    </row>
    <row r="210" customFormat="false" ht="15" hidden="false" customHeight="false" outlineLevel="0" collapsed="false">
      <c r="A210" s="16" t="n">
        <v>7</v>
      </c>
      <c r="B210" s="17" t="n">
        <v>100</v>
      </c>
      <c r="C210" s="17" t="s">
        <v>376</v>
      </c>
      <c r="D210" s="17" t="s">
        <v>32</v>
      </c>
      <c r="E210" s="17" t="n">
        <v>3000</v>
      </c>
      <c r="F210" s="18"/>
      <c r="G210" s="0" t="n">
        <f aca="false">IF(D210="Mono&amp;Dual",MIN(E210,F210)*2,MIN(E210,F210))</f>
        <v>3000</v>
      </c>
    </row>
    <row r="211" customFormat="false" ht="15" hidden="false" customHeight="false" outlineLevel="0" collapsed="false">
      <c r="A211" s="19" t="n">
        <v>7</v>
      </c>
      <c r="B211" s="20" t="n">
        <v>100</v>
      </c>
      <c r="C211" s="20" t="s">
        <v>377</v>
      </c>
      <c r="D211" s="20" t="s">
        <v>32</v>
      </c>
      <c r="E211" s="20" t="n">
        <v>3000</v>
      </c>
      <c r="F211" s="21"/>
      <c r="G211" s="0" t="n">
        <f aca="false">IF(D211="Mono&amp;Dual",MIN(E211,F211)*2,MIN(E211,F211))</f>
        <v>3000</v>
      </c>
    </row>
    <row r="212" customFormat="false" ht="15" hidden="false" customHeight="false" outlineLevel="0" collapsed="false">
      <c r="A212" s="16" t="n">
        <v>7</v>
      </c>
      <c r="B212" s="17" t="n">
        <v>100</v>
      </c>
      <c r="C212" s="17" t="s">
        <v>378</v>
      </c>
      <c r="D212" s="17" t="s">
        <v>32</v>
      </c>
      <c r="E212" s="17" t="n">
        <v>3000</v>
      </c>
      <c r="F212" s="18"/>
      <c r="G212" s="0" t="n">
        <f aca="false">IF(D212="Mono&amp;Dual",MIN(E212,F212)*2,MIN(E212,F212))</f>
        <v>3000</v>
      </c>
    </row>
    <row r="213" customFormat="false" ht="15" hidden="false" customHeight="false" outlineLevel="0" collapsed="false">
      <c r="A213" s="19" t="n">
        <v>7</v>
      </c>
      <c r="B213" s="20" t="n">
        <v>100</v>
      </c>
      <c r="C213" s="20" t="s">
        <v>379</v>
      </c>
      <c r="D213" s="20" t="s">
        <v>32</v>
      </c>
      <c r="E213" s="20" t="n">
        <v>3000</v>
      </c>
      <c r="F213" s="21"/>
      <c r="G213" s="0" t="n">
        <f aca="false">IF(D213="Mono&amp;Dual",MIN(E213,F213)*2,MIN(E213,F213))</f>
        <v>3000</v>
      </c>
    </row>
    <row r="214" customFormat="false" ht="15" hidden="false" customHeight="false" outlineLevel="0" collapsed="false">
      <c r="A214" s="16" t="n">
        <v>7</v>
      </c>
      <c r="B214" s="17" t="n">
        <v>100</v>
      </c>
      <c r="C214" s="17" t="s">
        <v>380</v>
      </c>
      <c r="D214" s="17" t="s">
        <v>32</v>
      </c>
      <c r="E214" s="17" t="n">
        <v>3000</v>
      </c>
      <c r="F214" s="18"/>
      <c r="G214" s="0" t="n">
        <f aca="false">IF(D214="Mono&amp;Dual",MIN(E214,F214)*2,MIN(E214,F214))</f>
        <v>3000</v>
      </c>
    </row>
    <row r="215" customFormat="false" ht="15" hidden="false" customHeight="false" outlineLevel="0" collapsed="false">
      <c r="A215" s="19" t="n">
        <v>7</v>
      </c>
      <c r="B215" s="20" t="n">
        <v>100</v>
      </c>
      <c r="C215" s="20" t="s">
        <v>381</v>
      </c>
      <c r="D215" s="20" t="s">
        <v>32</v>
      </c>
      <c r="E215" s="20" t="n">
        <v>3000</v>
      </c>
      <c r="F215" s="21"/>
      <c r="G215" s="0" t="n">
        <f aca="false">IF(D215="Mono&amp;Dual",MIN(E215,F215)*2,MIN(E215,F215))</f>
        <v>3000</v>
      </c>
    </row>
    <row r="216" customFormat="false" ht="15" hidden="false" customHeight="false" outlineLevel="0" collapsed="false">
      <c r="A216" s="16" t="n">
        <v>7</v>
      </c>
      <c r="B216" s="17" t="n">
        <v>100</v>
      </c>
      <c r="C216" s="17" t="s">
        <v>382</v>
      </c>
      <c r="D216" s="17" t="s">
        <v>32</v>
      </c>
      <c r="E216" s="17" t="n">
        <v>3000</v>
      </c>
      <c r="F216" s="18"/>
      <c r="G216" s="0" t="n">
        <f aca="false">IF(D216="Mono&amp;Dual",MIN(E216,F216)*2,MIN(E216,F216))</f>
        <v>3000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EsH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EnfrI7AAAAD6AAAAEgAAAENvbmZpZy9QYWNrYWdlLnhtbITPQQuCMBgG4HvQf5Dd3aZhlHzOQ1cFIYiuw4aO5iZupv+tQz+pv5BRVreO38sD7/vdrzdIx0Z5F9FZaXSCAkyRZx3XJ66MFgnSBqVsuYCCl2deCW/S2sajPSWodq6NCRmGAQ8rbLqKhJQG5Jhn+7IWDUcfLP9jX+pnbSkQg8NrDQvxZovXNIownSyQOYdc6q8Jp82YAvkJYdcr13eCtcovMiDzCeT9BnsAAAD//wMAUEsDBBQAAgAIAAAAIQBN00POVwIAADYKAAATAAAARm9ybXVsYXMvU2VjdGlvbjEubexVzW7TQBC+R+o7rNxLIqV2DG1AVD2UFEQPVEFJxQEha7KeJkv3x9qftnbFDYmH4Dl4AUTfi0ncEiA/gopDizjZM9/st9/OfmM75F4YzQb1M91tNNwELOasGgljeVVmFgpjfQYapKhKtsck+o0GYwMTLEeKe+4sPjA8KNS++RpHcc9oT++uGU28L9yTJAmgtlQZz6gLI7SPuVFJgdYZok0U2LEN6aPM0T4qZJiHrJDJDalL9ovCJS8Ft8aZE8/65hwtexXQlslxIQ3kJPi5kOiSFbJj7s6iVpu9OUAplPC0fI9Fu1Gb9YwMSjsKH7fZM81NLvSYou5Op5O2aRPjceBLOT3pPIiPjMa3rfa0EZtR3xpFSM4mSFKsi6h2CCMqu0Ze1Plm3TOScZ3fl3LAQYKd7u9tmFP2JqDHxMhn8pgvC5yzDi1od2KsqsUPCXTNJTLa7PIyOpTm6tPXj6yCHK4+UO5Q++52PF30ngqiAUcNVgRXLWL7cmxs6RUhUwXM44WfAX1bla4Q6CrUAgnuIx1MexjjfHWvAsfgmiKwpnKtGyId1Ajt0qovn5eWPQWHrKfg4nvFL1p/wn5cTWiEeut4ELU2GkKv7u/c/I7u4tQHC9m0azoju5Un4hT4O7jrA7BG+u8MQfdfsPw6S9M4OD4bBr0IHkF1DjUoYMH0Q1uOFpJF5uiDQb1qhmWuLLI8gFwC3sKVm9E6X6bRPbYmS/+b876bM+107rwFSePfNNqfu+LGcWSEOp0u+ZPNgAergIcL11znt1fkd1YRdW976d8AAAD//wMAUEsBAi0AFAAGAAgAAAAhACrdqkDSAAAANwEAABMAAAAAAAAAAAAAAAAAAAAAAFtDb250ZW50X1R5cGVzXS54bWxQSwECLQAUAAIACAAAACEAEnfrI7AAAAD6AAAAEgAAAAAAAAAAAAAAAAALAwAAQ29uZmlnL1BhY2thZ2UueG1sUEsBAi0AFAACAAgAAAAhAE3TQ85XAgAANgoAABMAAAAAAAAAAAAAAAAA6wMAAEZvcm11bGFzL1NlY3Rpb24xLm1QSwUGAAAAAAMAAwDCAAAAcwY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nQSAAAAAAAAaBI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96YmlvcmN6eV9yYXBvcnRfYW5hbGl6eTwvSXRlbVBhdGg+PC9JdGVtTG9jYXRpb24+PFN0YWJsZUVudHJpZXM+PEVudHJ5IFR5cGU9IkZpbGxDb3VudCIgVmFsdWU9ImwxMjYiLz48RW50cnkgVHlwZT0iRmlsbEVuYWJsZWQiIFZhbHVlPSJsMSIvPjxFbnRyeSBUeXBlPSJGaWxsRXJyb3JDb2RlIiBWYWx1ZT0ic1Vua25vd24iLz48RW50cnkgVHlwZT0iRmlsbEVycm9yQ291bnQiIFZhbHVlPSJsMCIvPjxFbnRyeSBUeXBlPSJGaWxsTGFzdFVwZGF0ZWQiIFZhbHVlPSJkMjAyNi0wNi0wMlQwMjowNjoxOS4yNTQxOTIxWiIvPjxFbnRyeSBUeXBlPSJGaWxsQ29sdW1uVHlwZXMiIFZhbHVlPSJzQXdNR0JROFBBdzg9Ii8+PEVudHJ5IFR5cGU9IkZpbGxDb2x1bW5OYW1lcyIgVmFsdWU9InNbJnF1b3Q7SWxvxZvEhyB6YWRhxYQmcXVvdDssJnF1b3Q7U2NlbmFyaXVzeiZxdW90OywmcXVvdDtBbGdvcnl0bSZxdW90OywmcXVvdDtQcnp5c3BpZXN6ZW5pZSZxdW90OywmcXVvdDtDemFzIGFsZ29yeXRtdSAobXMpJnF1b3Q7LCZxdW90O0N6YXMgYWxnb3J5dG11ICjCtXMpJnF1b3Q7LCZxdW90O0Jhc2UgQ21heCAowrVzKSZxdW90OywmcXVvdDtDbWF4ICjCtXMpJnF1b3Q7XSIvPjxFbnRyeSBUeXBlPSJGaWxsZWRDb21wbGV0ZVJlc3VsdFRvV29ya3NoZWV0IiBWYWx1ZT0ibDEiLz48RW50cnkgVHlwZT0iRmlsbFN0YXR1cyIgVmFsdWU9InNDb21wbGV0ZSIvPjxFbnRyeSBUeXBlPSJRdWVyeUlEIiBWYWx1ZT0iczYzOGFiZDNjLTVmOTYtNGM3MS1hYmJlLTRjZTE4ODFlMDNiYiIvPjxFbnRyeSBUeXBlPSJSZXN1bHRUeXBlIiBWYWx1ZT0ic1RhYmxlIi8+PEVudHJ5IFR5cGU9IkZpbGxPYmplY3RUeXBlIiBWYWx1ZT0ic1RhYmxlIi8+PEVudHJ5IFR5cGU9Ik5hbWVVcGRhdGVkQWZ0ZXJGaWxsIiBWYWx1ZT0ibDAiLz48RW50cnkgVHlwZT0iRmlsbFRhcmdldCIgVmFsdWU9InN6YmlvcmN6eV9yYXBvcnRfYW5hbGl6eSIvPjwvU3RhYmxlRW50cmllcz48L0l0ZW0+PEl0ZW0+PEl0ZW1Mb2NhdGlvbj48SXRlbVR5cGU+Rm9ybXVsYTwvSXRlbVR5cGU+PEl0ZW1QYXRoPlNlY3Rpb24xL3N0cnVrdHVyYV96YWRhbl93ZXJ5ZmlrYWNqYTwvSXRlbVBhdGg+PC9JdGVtTG9jYXRpb24+PFN0YWJsZUVudHJpZXM+PEVudHJ5IFR5cGU9IkZpbGxFbmFibGVkIiBWYWx1ZT0ibDAiLz48RW50cnkgVHlwZT0iRmlsbEVycm9yQ29kZSIgVmFsdWU9InNVbmtub3duIi8+PEVudHJ5IFR5cGU9IkZpbGxFcnJvckNvdW50IiBWYWx1ZT0ibDAiLz48RW50cnkgVHlwZT0iRmlsbExhc3RVcGRhdGVkIiBWYWx1ZT0iZDIwMjYtMDYtMDJUMDI6MDk6MTIuNDYyNDEyOFoiLz48RW50cnkgVHlwZT0iRmlsbENvbHVtblR5cGVzIiBWYWx1ZT0ic0F3TUdCZ01EIi8+PEVudHJ5IFR5cGU9IkZpbGxDb2x1bW5OYW1lcyIgVmFsdWU9InNbJnF1b3Q7U2NlbmFyaXVzeiZxdW90OywmcXVvdDtJbG9zYyB6YWRhbiZxdW90OywmcXVvdDtOYXp3YSB6YWRhbmlhJnF1b3Q7LCZxdW90O1RyeWImcXVvdDssJnF1b3Q7cF9zaW5nbGUgKHVzKSZxdW90OywmcXVvdDtwX2R1YWwgKHVzKSZxdW90O10iLz48RW50cnkgVHlwZT0iRmlsbGVkQ29tcGxldGVSZXN1bHRUb1dvcmtzaGVldCIgVmFsdWU9ImwxIi8+PEVudHJ5IFR5cGU9IkZpbGxTdGF0dXMiIFZhbHVlPSJzQ29tcGxldGUiLz48RW50cnkgVHlwZT0iUXVlcnlJRCIgVmFsdWU9InM2MWQ4OWQ2NC0yNTFlLTRiOTktYjE3Ny1iZjUzODNkYzk5NzYiLz48RW50cnkgVHlwZT0iUmVzdWx0VHlwZSIgVmFsdWU9InNBbnkiLz48RW50cnkgVHlwZT0iRmlsbE9iamVjdFR5cGUiIFZhbHVlPSJzQ29ubmVjdGlvbk9ubHkiLz48RW50cnkgVHlwZT0iTmFtZVVwZGF0ZWRBZnRlckZpbGwiIFZhbHVlPSJsMCIvPjwvU3RhYmxlRW50cmllcz48L0l0ZW0+PEl0ZW0+PEl0ZW1Mb2NhdGlvbj48SXRlbVR5cGU+Rm9ybXVsYTwvSXRlbVR5cGU+PEl0ZW1QYXRoPlNlY3Rpb24xL3N0cnVrdHVyYV96YWRhbl93ZXJ5ZmlrYWNqYSUyMDE8L0l0ZW1QYXRoPjwvSXRlbUxvY2F0aW9uPjxTdGFibGVFbnRyaWVzPjxFbnRyeSBUeXBlPSJGaWxsRW5hYmxlZCIgVmFsdWU9ImwwIi8+PEVudHJ5IFR5cGU9IkZpbGxFcnJvckNvZGUiIFZhbHVlPSJzVW5rbm93biIvPjxFbnRyeSBUeXBlPSJGaWxsRXJyb3JDb3VudCIgVmFsdWU9ImwwIi8+PEVudHJ5IFR5cGU9IkZpbGxMYXN0VXBkYXRlZCIgVmFsdWU9ImQyMDI2LTA2LTAyVDAyOjE1OjM5LjA2NjI2NDFaIi8+PEVudHJ5IFR5cGU9IkZpbGxDb2x1bW5UeXBlcyIgVmFsdWU9InNBd01HQmdNRCIvPjxFbnRyeSBUeXBlPSJGaWxsQ29sdW1uTmFtZXMiIFZhbHVlPSJzWyZxdW90O1NjZW5hcml1c3omcXVvdDssJnF1b3Q7SWxvc2MgemFkYW4mcXVvdDssJnF1b3Q7TmF6d2EgemFkYW5pYSZxdW90OywmcXVvdDtUcnliJnF1b3Q7LCZxdW90O3Bfc2luZ2xlICh1cykmcXVvdDssJnF1b3Q7cF9kdWFsICh1cykmcXVvdDtdIi8+PEVudHJ5IFR5cGU9IkZpbGxlZENvbXBsZXRlUmVzdWx0VG9Xb3Jrc2hlZXQiIFZhbHVlPSJsMSIvPjxFbnRyeSBUeXBlPSJGaWxsU3RhdHVzIiBWYWx1ZT0ic0NvbXBsZXRlIi8+PEVudHJ5IFR5cGU9IlF1ZXJ5SUQiIFZhbHVlPSJzNTY2MWYwMWUtYThhNS00ZWM5LWFiZmYtNjE0ZTE3ZDk0ZDQ4Ii8+PEVudHJ5IFR5cGU9IlJlc3VsdFR5cGUiIFZhbHVlPSJzVGFibGUiLz48RW50cnkgVHlwZT0iRmlsbE9iamVjdFR5cGUiIFZhbHVlPSJzQ29ubmVjdGlvbk9ubHkiLz48RW50cnkgVHlwZT0iTmFtZVVwZGF0ZWRBZnRlckZpbGwiIFZhbHVlPSJsMCIvPjwvU3RhYmxlRW50cmllcz48L0l0ZW0+PEl0ZW0+PEl0ZW1Mb2NhdGlvbj48SXRlbVR5cGU+Rm9ybXVsYTwvSXRlbVR5cGU+PEl0ZW1QYXRoPlNlY3Rpb24xLzEwMDwvSXRlbVBhdGg+PC9JdGVtTG9jYXRpb24+PFN0YWJsZUVudHJpZXM+PEVudHJ5IFR5cGU9IkZpbGxFbmFibGVkIiBWYWx1ZT0ibDAiLz48RW50cnkgVHlwZT0iRmlsbEVycm9yQ29kZSIgVmFsdWU9InNVbmtub3duIi8+PEVudHJ5IFR5cGU9IkZpbGxFcnJvckNvdW50IiBWYWx1ZT0ibDAiLz48RW50cnkgVHlwZT0iRmlsbExhc3RVcGRhdGVkIiBWYWx1ZT0iZDIwMjYtMDYtMDJUMDI6MjU6MDMuNjE5MzAxOFoiLz48RW50cnkgVHlwZT0iRmlsbENvbHVtblR5cGVzIiBWYWx1ZT0ic0F3TUdCZ01EIi8+PEVudHJ5IFR5cGU9IkZpbGxDb2x1bW5OYW1lcyIgVmFsdWU9InNbJnF1b3Q7Q29sdW1uMSZxdW90OywmcXVvdDtDb2x1bW4yJnF1b3Q7LCZxdW90O0NvbHVtbjMmcXVvdDssJnF1b3Q7Q29sdW1uNCZxdW90OywmcXVvdDtDb2x1bW41JnF1b3Q7LCZxdW90O0NvbHVtbjYmcXVvdDtdIi8+PEVudHJ5IFR5cGU9IkZpbGxlZENvbXBsZXRlUmVzdWx0VG9Xb3Jrc2hlZXQiIFZhbHVlPSJsMSIvPjxFbnRyeSBUeXBlPSJGaWxsU3RhdHVzIiBWYWx1ZT0ic0NvbXBsZXRlIi8+PEVudHJ5IFR5cGU9IlF1ZXJ5SUQiIFZhbHVlPSJzMjNhMzRiZDAtYWZiZi00M2RkLThmNWYtMTY4MzNhZDgzODVkIi8+PEVudHJ5IFR5cGU9IlJlc3VsdFR5cGUiIFZhbHVlPSJzVGFibGUiLz48RW50cnkgVHlwZT0iRmlsbE9iamVjdFR5cGUiIFZhbHVlPSJzQ29ubmVjdGlvbk9ubHkiLz48RW50cnkgVHlwZT0iTmFtZVVwZGF0ZWRBZnRlckZpbGwiIFZhbHVlPSJsMCIvPjwvU3RhYmxlRW50cmllcz48L0l0ZW0+PEl0ZW0+PEl0ZW1Mb2NhdGlvbj48SXRlbVR5cGU+Rm9ybXVsYTwvSXRlbVR5cGU+PEl0ZW1QYXRoPlNlY3Rpb24xL3piaW9yY3p5X3JhcG9ydF9hbmFsaXp5L1NvdXJjZTwvSXRlbVBhdGg+PC9JdGVtTG9jYXRpb24+PFN0YWJsZUVudHJpZXMvPjwvSXRlbT48SXRlbT48SXRlbUxvY2F0aW9uPjxJdGVtVHlwZT5Gb3JtdWxhPC9JdGVtVHlwZT48SXRlbVBhdGg+U2VjdGlvbjEvc3RydWt0dXJhX3phZGFuX3dlcnlmaWthY2phL1NvdXJjZTwvSXRlbVBhdGg+PC9JdGVtTG9jYXRpb24+PFN0YWJsZUVudHJpZXMvPjwvSXRlbT48SXRlbT48SXRlbUxvY2F0aW9uPjxJdGVtVHlwZT5Gb3JtdWxhPC9JdGVtVHlwZT48SXRlbVBhdGg+U2VjdGlvbjEvc3RydWt0dXJhX3phZGFuX3dlcnlmaWthY2phJTIwMS9Tb3VyY2U8L0l0ZW1QYXRoPjwvSXRlbUxvY2F0aW9uPjxTdGFibGVFbnRyaWVzLz48L0l0ZW0+PEl0ZW0+PEl0ZW1Mb2NhdGlvbj48SXRlbVR5cGU+Rm9ybXVsYTwvSXRlbVR5cGU+PEl0ZW1QYXRoPlNlY3Rpb24xLzEwMC9Tb3VyY2U8L0l0ZW1QYXRoPjwvSXRlbUxvY2F0aW9uPjxTdGFibGVFbnRyaWVzLz48L0l0ZW0+PEl0ZW0+PEl0ZW1Mb2NhdGlvbj48SXRlbVR5cGU+QWxsRm9ybXVsYXM8L0l0ZW1UeXBlPjxJdGVtUGF0aD48L0l0ZW1QYXRoPjwvSXRlbUxvY2F0aW9uPjxTdGFibGVFbnRyaWVzPjxFbnRyeSBUeXBlPSJRdWVyeUdyb3VwcyIgVmFsdWU9InNBQUFBQUE9PSIvPjxFbnRyeSBUeXBlPSJJc1R5cGVEZXRlY3Rpb25FbmFibGVkIiBWYWx1ZT0ic1RydWUiLz48L1N0YWJsZUVudHJpZXM+PC9JdGVtPjwvSXRlbXM+PC9Mb2NhbFBhY2thZ2VNZXRhZGF0YUZpbGU+AAAAAAAAAAA=</DataMashup>
</file>

<file path=customXml/itemProps1.xml><?xml version="1.0" encoding="utf-8"?>
<ds:datastoreItem xmlns:ds="http://schemas.openxmlformats.org/officeDocument/2006/customXml" ds:itemID="{8DD3C4BC-0820-4337-BC71-31C3D0B1A03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2026-06-02T02:04:37Z</dcterms:created>
  <dc:creator/>
  <dc:description/>
  <dc:language>en-US</dc:language>
  <cp:lastModifiedBy/>
  <dcterms:modified xsi:type="dcterms:W3CDTF">2026-06-05T13:10:57Z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